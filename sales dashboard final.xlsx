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Batik\Downloads\"/>
    </mc:Choice>
  </mc:AlternateContent>
  <xr:revisionPtr revIDLastSave="0" documentId="8_{9CD900E9-2187-4803-88F9-CFD188CD9B0F}"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Clean Daata" sheetId="2" r:id="rId2"/>
    <sheet name="PivotTable" sheetId="3" r:id="rId3"/>
    <sheet name="Dashboard" sheetId="4" r:id="rId4"/>
  </sheets>
  <definedNames>
    <definedName name="_xlnm._FilterDatabase" localSheetId="0" hidden="1">bike_buyers!$A$1:$M$1001</definedName>
    <definedName name="_xlnm._FilterDatabase" localSheetId="1" hidden="1">'Clean Daata'!$A$1:$N$1027</definedName>
    <definedName name="Slicer_Education">#N/A</definedName>
    <definedName name="Slicer_Maritual_Status">#N/A</definedName>
    <definedName name="Slicer_Region">#N/A</definedName>
  </definedNames>
  <calcPr calcId="18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<sst xmlns="http://schemas.openxmlformats.org/spreadsheetml/2006/main" count="16479" uniqueCount="50">
  <si>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</si>
  <si>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</si>
  <si>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</si>
  <si>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</si>
  <si>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</si>
  <si>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</si>
  <si>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</si>
  <si>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</si>
  <si>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</si>
  <si>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</si>
  <si>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</si>
  <si>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</si>
  <si>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</si>
  <si>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</si>
  <si>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</si>
  <si>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</si>
  <si>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</si>
  <si>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</si>
  <si>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</si>
  <si>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</si>
  <si>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</si>
  <si>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</si>
  <si>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</si>
  <si>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</si>
  <si>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</si>
  <si>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</si>
  <si>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</si>
  <si>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</si>
  <si>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</si>
  <si>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</si>
  <si>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</si>
  <si>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</si>
  <si>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</si>
  <si>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</si>
  <si>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</si>
  <si>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</si>
  <si>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</si>
  <si>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</si>
  <si>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</si>
  <si>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</si>
  <si>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</si>
  <si>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Maritual Status</t>
  </si>
  <si>
    <t>Row Labels</t>
  </si>
  <si>
    <t>Grand Total</t>
  </si>
  <si>
    <t>Average of Income</t>
  </si>
  <si>
    <t>Column Labels</t>
  </si>
  <si>
    <t>Count of Purchased Bike</t>
  </si>
  <si>
    <t>More than 10 miles</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</si>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</sst>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D7D7"/>
      <color rgb="FFFFD7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final.xlsx]PivotTable!PivotTable1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rPr>
              <a:t>Average Income Per Purchase</a:t>
            </a:r>
          </a:p>
        </c:rich>
      </c:tx>
      <c:overlay val="0"/>
      <c:spPr>
        <a:solidFill>
          <a:schemeClr val="accent1">
            <a:lumMod val="50000"/>
          </a:schemeClr>
        </a:solid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c:v>
                </c:pt>
                <c:pt idx="1">
                  <c:v>Male</c:v>
                </c:pt>
              </c:strCache>
            </c:strRef>
          </c:cat>
          <c:val>
            <c:numRef>
              <c:f>PivotTable!$B$5:$B$7</c:f>
              <c:numCache>
                <c:formatCode>0</c:formatCode>
                <c:ptCount val="2"/>
                <c:pt idx="0">
                  <c:v>50000</c:v>
                </c:pt>
                <c:pt idx="1">
                  <c:v>100000</c:v>
                </c:pt>
              </c:numCache>
            </c:numRef>
          </c:val>
          <c:extLst>
            <c:ext xmlns:c16="http://schemas.microsoft.com/office/drawing/2014/chart" uri="{C3380CC4-5D6E-409C-BE32-E72D297353CC}">
              <c16:uniqueId val="{00000000-B470-49D8-85B3-E864FDB98369}"/>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c:v>
                </c:pt>
                <c:pt idx="1">
                  <c:v>Male</c:v>
                </c:pt>
              </c:strCache>
            </c:strRef>
          </c:cat>
          <c:val>
            <c:numRef>
              <c:f>PivotTable!$C$5:$C$7</c:f>
              <c:numCache>
                <c:formatCode>0</c:formatCode>
                <c:ptCount val="2"/>
                <c:pt idx="0">
                  <c:v>70000</c:v>
                </c:pt>
                <c:pt idx="1">
                  <c:v>106666.66666666667</c:v>
                </c:pt>
              </c:numCache>
            </c:numRef>
          </c:val>
          <c:extLst>
            <c:ext xmlns:c16="http://schemas.microsoft.com/office/drawing/2014/chart" uri="{C3380CC4-5D6E-409C-BE32-E72D297353CC}">
              <c16:uniqueId val="{00000001-B470-49D8-85B3-E864FDB98369}"/>
            </c:ext>
          </c:extLst>
        </c:ser>
        <c:dLbls>
          <c:showLegendKey val="0"/>
          <c:showVal val="0"/>
          <c:showCatName val="0"/>
          <c:showSerName val="0"/>
          <c:showPercent val="0"/>
          <c:showBubbleSize val="0"/>
        </c:dLbls>
        <c:gapWidth val="219"/>
        <c:overlap val="-27"/>
        <c:axId val="454898808"/>
        <c:axId val="454899888"/>
      </c:barChart>
      <c:catAx>
        <c:axId val="454898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bg1"/>
                    </a:solidFill>
                  </a:rPr>
                  <a:t>Gender</a:t>
                </a:r>
                <a:r>
                  <a:rPr lang="en-US" sz="1100" b="1"/>
                  <a:t>r</a:t>
                </a:r>
              </a:p>
            </c:rich>
          </c:tx>
          <c:layout>
            <c:manualLayout>
              <c:xMode val="edge"/>
              <c:yMode val="edge"/>
              <c:x val="0.39910979877515312"/>
              <c:y val="0.86014107611548551"/>
            </c:manualLayout>
          </c:layout>
          <c:overlay val="0"/>
          <c:spPr>
            <a:solidFill>
              <a:schemeClr val="accent1">
                <a:lumMod val="75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99888"/>
        <c:crosses val="autoZero"/>
        <c:auto val="1"/>
        <c:lblAlgn val="ctr"/>
        <c:lblOffset val="100"/>
        <c:noMultiLvlLbl val="0"/>
      </c:catAx>
      <c:valAx>
        <c:axId val="4548998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bg1"/>
                    </a:solidFill>
                  </a:rPr>
                  <a:t>Income</a:t>
                </a:r>
              </a:p>
            </c:rich>
          </c:tx>
          <c:overlay val="0"/>
          <c:spPr>
            <a:solidFill>
              <a:schemeClr val="accent1">
                <a:lumMod val="50000"/>
              </a:schemeClr>
            </a:solidFill>
            <a:ln>
              <a:solidFill>
                <a:schemeClr val="accent1">
                  <a:lumMod val="50000"/>
                </a:schemeClr>
              </a:soli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98808"/>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final.xlsx]PivotTable!PivotTable2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Distance Per Customer</a:t>
            </a:r>
          </a:p>
        </c:rich>
      </c:tx>
      <c:layout>
        <c:manualLayout>
          <c:xMode val="edge"/>
          <c:yMode val="edge"/>
          <c:x val="0.30159711286089241"/>
          <c:y val="0.10546077573636629"/>
        </c:manualLayout>
      </c:layout>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PivotTable!$B$23:$B$24</c:f>
              <c:strCache>
                <c:ptCount val="1"/>
                <c:pt idx="0">
                  <c:v>No</c:v>
                </c:pt>
              </c:strCache>
            </c:strRef>
          </c:tx>
          <c:spPr>
            <a:ln w="28575" cap="rnd">
              <a:solidFill>
                <a:schemeClr val="accent1"/>
              </a:solidFill>
              <a:round/>
            </a:ln>
            <a:effectLst/>
          </c:spPr>
          <c:marker>
            <c:symbol val="none"/>
          </c:marker>
          <c:cat>
            <c:strRef>
              <c:f>PivotTable!$A$25:$A$29</c:f>
              <c:strCache>
                <c:ptCount val="4"/>
                <c:pt idx="0">
                  <c:v>0-1 Miles</c:v>
                </c:pt>
                <c:pt idx="1">
                  <c:v>1-2 Miles</c:v>
                </c:pt>
                <c:pt idx="2">
                  <c:v>5-10 Miles</c:v>
                </c:pt>
                <c:pt idx="3">
                  <c:v>More than 10 miles</c:v>
                </c:pt>
              </c:strCache>
            </c:strRef>
          </c:cat>
          <c:val>
            <c:numRef>
              <c:f>PivotTable!$B$25:$B$29</c:f>
              <c:numCache>
                <c:formatCode>General</c:formatCode>
                <c:ptCount val="4"/>
                <c:pt idx="0">
                  <c:v>1</c:v>
                </c:pt>
                <c:pt idx="1">
                  <c:v>1</c:v>
                </c:pt>
                <c:pt idx="2">
                  <c:v>2</c:v>
                </c:pt>
                <c:pt idx="3">
                  <c:v>1</c:v>
                </c:pt>
              </c:numCache>
            </c:numRef>
          </c:val>
          <c:smooth val="0"/>
          <c:extLst>
            <c:ext xmlns:c16="http://schemas.microsoft.com/office/drawing/2014/chart" uri="{C3380CC4-5D6E-409C-BE32-E72D297353CC}">
              <c16:uniqueId val="{00000000-C012-499B-BC87-78AFABA0808B}"/>
            </c:ext>
          </c:extLst>
        </c:ser>
        <c:ser>
          <c:idx val="1"/>
          <c:order val="1"/>
          <c:tx>
            <c:strRef>
              <c:f>PivotTable!$C$23:$C$24</c:f>
              <c:strCache>
                <c:ptCount val="1"/>
                <c:pt idx="0">
                  <c:v>Yes</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PivotTable!$A$25:$A$29</c:f>
              <c:strCache>
                <c:ptCount val="4"/>
                <c:pt idx="0">
                  <c:v>0-1 Miles</c:v>
                </c:pt>
                <c:pt idx="1">
                  <c:v>1-2 Miles</c:v>
                </c:pt>
                <c:pt idx="2">
                  <c:v>5-10 Miles</c:v>
                </c:pt>
                <c:pt idx="3">
                  <c:v>More than 10 miles</c:v>
                </c:pt>
              </c:strCache>
            </c:strRef>
          </c:cat>
          <c:val>
            <c:numRef>
              <c:f>PivotTable!$C$25:$C$29</c:f>
              <c:numCache>
                <c:formatCode>General</c:formatCode>
                <c:ptCount val="4"/>
                <c:pt idx="0">
                  <c:v>1</c:v>
                </c:pt>
                <c:pt idx="1">
                  <c:v>2</c:v>
                </c:pt>
                <c:pt idx="2">
                  <c:v>1</c:v>
                </c:pt>
              </c:numCache>
            </c:numRef>
          </c:val>
          <c:smooth val="0"/>
          <c:extLst>
            <c:ext xmlns:c16="http://schemas.microsoft.com/office/drawing/2014/chart" uri="{C3380CC4-5D6E-409C-BE32-E72D297353CC}">
              <c16:uniqueId val="{00000001-C012-499B-BC87-78AFABA0808B}"/>
            </c:ext>
          </c:extLst>
        </c:ser>
        <c:dLbls>
          <c:showLegendKey val="0"/>
          <c:showVal val="0"/>
          <c:showCatName val="0"/>
          <c:showSerName val="0"/>
          <c:showPercent val="0"/>
          <c:showBubbleSize val="0"/>
        </c:dLbls>
        <c:smooth val="0"/>
        <c:axId val="595803848"/>
        <c:axId val="595801328"/>
      </c:lineChart>
      <c:catAx>
        <c:axId val="595803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bg1"/>
                    </a:solidFill>
                  </a:rPr>
                  <a:t>Commute Distance</a:t>
                </a:r>
              </a:p>
            </c:rich>
          </c:tx>
          <c:overlay val="0"/>
          <c:spPr>
            <a:solidFill>
              <a:schemeClr val="accent1">
                <a:lumMod val="5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801328"/>
        <c:crosses val="autoZero"/>
        <c:auto val="1"/>
        <c:lblAlgn val="ctr"/>
        <c:lblOffset val="100"/>
        <c:noMultiLvlLbl val="0"/>
      </c:catAx>
      <c:valAx>
        <c:axId val="59580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803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final.xlsx]PivotTable!PivotTable3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Age Bracket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PivotTable!$A$43:$A$45</c:f>
              <c:strCache>
                <c:ptCount val="2"/>
                <c:pt idx="0">
                  <c:v>Middle Age</c:v>
                </c:pt>
                <c:pt idx="1">
                  <c:v>Old</c:v>
                </c:pt>
              </c:strCache>
            </c:strRef>
          </c:cat>
          <c:val>
            <c:numRef>
              <c:f>PivotTable!$B$43:$B$45</c:f>
              <c:numCache>
                <c:formatCode>General</c:formatCode>
                <c:ptCount val="2"/>
                <c:pt idx="0">
                  <c:v>4</c:v>
                </c:pt>
                <c:pt idx="1">
                  <c:v>1</c:v>
                </c:pt>
              </c:numCache>
            </c:numRef>
          </c:val>
          <c:smooth val="0"/>
          <c:extLst>
            <c:ext xmlns:c16="http://schemas.microsoft.com/office/drawing/2014/chart" uri="{C3380CC4-5D6E-409C-BE32-E72D297353CC}">
              <c16:uniqueId val="{00000000-D4F4-487E-8B7D-0BE5FBE12D79}"/>
            </c:ext>
          </c:extLst>
        </c:ser>
        <c:ser>
          <c:idx val="1"/>
          <c:order val="1"/>
          <c:tx>
            <c:strRef>
              <c:f>PivotTable!$C$41:$C$42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PivotTable!$A$43:$A$45</c:f>
              <c:strCache>
                <c:ptCount val="2"/>
                <c:pt idx="0">
                  <c:v>Middle Age</c:v>
                </c:pt>
                <c:pt idx="1">
                  <c:v>Old</c:v>
                </c:pt>
              </c:strCache>
            </c:strRef>
          </c:cat>
          <c:val>
            <c:numRef>
              <c:f>PivotTable!$C$43:$C$45</c:f>
              <c:numCache>
                <c:formatCode>General</c:formatCode>
                <c:ptCount val="2"/>
                <c:pt idx="0">
                  <c:v>4</c:v>
                </c:pt>
              </c:numCache>
            </c:numRef>
          </c:val>
          <c:smooth val="0"/>
          <c:extLst>
            <c:ext xmlns:c16="http://schemas.microsoft.com/office/drawing/2014/chart" uri="{C3380CC4-5D6E-409C-BE32-E72D297353CC}">
              <c16:uniqueId val="{00000001-D4F4-487E-8B7D-0BE5FBE12D79}"/>
            </c:ext>
          </c:extLst>
        </c:ser>
        <c:dLbls>
          <c:showLegendKey val="0"/>
          <c:showVal val="0"/>
          <c:showCatName val="0"/>
          <c:showSerName val="0"/>
          <c:showPercent val="0"/>
          <c:showBubbleSize val="0"/>
        </c:dLbls>
        <c:marker val="1"/>
        <c:smooth val="0"/>
        <c:axId val="454490560"/>
        <c:axId val="454493080"/>
      </c:lineChart>
      <c:catAx>
        <c:axId val="454490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tx1"/>
                    </a:solidFill>
                  </a:rPr>
                  <a:t>Age</a:t>
                </a:r>
                <a:r>
                  <a:rPr lang="en-US" sz="1100" b="1" baseline="0">
                    <a:solidFill>
                      <a:schemeClr val="tx1"/>
                    </a:solidFill>
                  </a:rPr>
                  <a:t> Bracket</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493080"/>
        <c:crosses val="autoZero"/>
        <c:auto val="1"/>
        <c:lblAlgn val="ctr"/>
        <c:lblOffset val="100"/>
        <c:noMultiLvlLbl val="0"/>
      </c:catAx>
      <c:valAx>
        <c:axId val="45449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49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final.xlsx]PivotTable!PivotTable5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PivotTable!$A$60:$A$67</c:f>
              <c:strCache>
                <c:ptCount val="7"/>
                <c:pt idx="0">
                  <c:v>31</c:v>
                </c:pt>
                <c:pt idx="1">
                  <c:v>33</c:v>
                </c:pt>
                <c:pt idx="2">
                  <c:v>35</c:v>
                </c:pt>
                <c:pt idx="3">
                  <c:v>49</c:v>
                </c:pt>
                <c:pt idx="4">
                  <c:v>50</c:v>
                </c:pt>
                <c:pt idx="5">
                  <c:v>55</c:v>
                </c:pt>
                <c:pt idx="6">
                  <c:v>62</c:v>
                </c:pt>
              </c:strCache>
            </c:strRef>
          </c:cat>
          <c:val>
            <c:numRef>
              <c:f>PivotTable!$B$60:$B$67</c:f>
              <c:numCache>
                <c:formatCode>General</c:formatCode>
                <c:ptCount val="7"/>
                <c:pt idx="0">
                  <c:v>1</c:v>
                </c:pt>
                <c:pt idx="2">
                  <c:v>1</c:v>
                </c:pt>
                <c:pt idx="5">
                  <c:v>2</c:v>
                </c:pt>
                <c:pt idx="6">
                  <c:v>1</c:v>
                </c:pt>
              </c:numCache>
            </c:numRef>
          </c:val>
          <c:smooth val="0"/>
          <c:extLst>
            <c:ext xmlns:c16="http://schemas.microsoft.com/office/drawing/2014/chart" uri="{C3380CC4-5D6E-409C-BE32-E72D297353CC}">
              <c16:uniqueId val="{00000000-BC3D-4FC0-ADDC-FF92B6F1D4C2}"/>
            </c:ext>
          </c:extLst>
        </c:ser>
        <c:ser>
          <c:idx val="1"/>
          <c:order val="1"/>
          <c:tx>
            <c:strRef>
              <c:f>PivotTable!$C$58:$C$59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PivotTable!$A$60:$A$67</c:f>
              <c:strCache>
                <c:ptCount val="7"/>
                <c:pt idx="0">
                  <c:v>31</c:v>
                </c:pt>
                <c:pt idx="1">
                  <c:v>33</c:v>
                </c:pt>
                <c:pt idx="2">
                  <c:v>35</c:v>
                </c:pt>
                <c:pt idx="3">
                  <c:v>49</c:v>
                </c:pt>
                <c:pt idx="4">
                  <c:v>50</c:v>
                </c:pt>
                <c:pt idx="5">
                  <c:v>55</c:v>
                </c:pt>
                <c:pt idx="6">
                  <c:v>62</c:v>
                </c:pt>
              </c:strCache>
            </c:strRef>
          </c:cat>
          <c:val>
            <c:numRef>
              <c:f>PivotTable!$C$60:$C$67</c:f>
              <c:numCache>
                <c:formatCode>General</c:formatCode>
                <c:ptCount val="7"/>
                <c:pt idx="1">
                  <c:v>1</c:v>
                </c:pt>
                <c:pt idx="3">
                  <c:v>1</c:v>
                </c:pt>
                <c:pt idx="4">
                  <c:v>2</c:v>
                </c:pt>
              </c:numCache>
            </c:numRef>
          </c:val>
          <c:smooth val="0"/>
          <c:extLst>
            <c:ext xmlns:c16="http://schemas.microsoft.com/office/drawing/2014/chart" uri="{C3380CC4-5D6E-409C-BE32-E72D297353CC}">
              <c16:uniqueId val="{00000001-BC3D-4FC0-ADDC-FF92B6F1D4C2}"/>
            </c:ext>
          </c:extLst>
        </c:ser>
        <c:dLbls>
          <c:showLegendKey val="0"/>
          <c:showVal val="0"/>
          <c:showCatName val="0"/>
          <c:showSerName val="0"/>
          <c:showPercent val="0"/>
          <c:showBubbleSize val="0"/>
        </c:dLbls>
        <c:marker val="1"/>
        <c:smooth val="0"/>
        <c:axId val="618268248"/>
        <c:axId val="618264648"/>
      </c:lineChart>
      <c:catAx>
        <c:axId val="618268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264648"/>
        <c:crosses val="autoZero"/>
        <c:auto val="1"/>
        <c:lblAlgn val="ctr"/>
        <c:lblOffset val="100"/>
        <c:noMultiLvlLbl val="0"/>
      </c:catAx>
      <c:valAx>
        <c:axId val="618264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268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final.xlsx]PivotTable!PivotTable1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PivotTable!$B$3:$B$4</c:f>
              <c:strCache>
                <c:ptCount val="1"/>
                <c:pt idx="0">
                  <c:v>No</c:v>
                </c:pt>
              </c:strCache>
            </c:strRef>
          </c:tx>
          <c:spPr>
            <a:solidFill>
              <a:schemeClr val="accent1"/>
            </a:solidFill>
            <a:ln>
              <a:noFill/>
            </a:ln>
            <a:effectLst/>
          </c:spPr>
          <c:invertIfNegative val="0"/>
          <c:cat>
            <c:strRef>
              <c:f>PivotTable!$A$5:$A$7</c:f>
              <c:strCache>
                <c:ptCount val="2"/>
                <c:pt idx="0">
                  <c:v>FeMale</c:v>
                </c:pt>
                <c:pt idx="1">
                  <c:v>Male</c:v>
                </c:pt>
              </c:strCache>
            </c:strRef>
          </c:cat>
          <c:val>
            <c:numRef>
              <c:f>PivotTable!$B$5:$B$7</c:f>
              <c:numCache>
                <c:formatCode>0</c:formatCode>
                <c:ptCount val="2"/>
                <c:pt idx="0">
                  <c:v>50000</c:v>
                </c:pt>
                <c:pt idx="1">
                  <c:v>100000</c:v>
                </c:pt>
              </c:numCache>
            </c:numRef>
          </c:val>
          <c:extLst>
            <c:ext xmlns:c16="http://schemas.microsoft.com/office/drawing/2014/chart" uri="{C3380CC4-5D6E-409C-BE32-E72D297353CC}">
              <c16:uniqueId val="{00000000-FCD6-425E-B0F9-7E1ACABBBCEE}"/>
            </c:ext>
          </c:extLst>
        </c:ser>
        <c:ser>
          <c:idx val="1"/>
          <c:order val="1"/>
          <c:tx>
            <c:strRef>
              <c:f>PivotTable!$C$3:$C$4</c:f>
              <c:strCache>
                <c:ptCount val="1"/>
                <c:pt idx="0">
                  <c:v>Yes</c:v>
                </c:pt>
              </c:strCache>
            </c:strRef>
          </c:tx>
          <c:spPr>
            <a:solidFill>
              <a:schemeClr val="accent2"/>
            </a:solidFill>
            <a:ln>
              <a:noFill/>
            </a:ln>
            <a:effectLst/>
          </c:spPr>
          <c:invertIfNegative val="0"/>
          <c:cat>
            <c:strRef>
              <c:f>PivotTable!$A$5:$A$7</c:f>
              <c:strCache>
                <c:ptCount val="2"/>
                <c:pt idx="0">
                  <c:v>FeMale</c:v>
                </c:pt>
                <c:pt idx="1">
                  <c:v>Male</c:v>
                </c:pt>
              </c:strCache>
            </c:strRef>
          </c:cat>
          <c:val>
            <c:numRef>
              <c:f>PivotTable!$C$5:$C$7</c:f>
              <c:numCache>
                <c:formatCode>0</c:formatCode>
                <c:ptCount val="2"/>
                <c:pt idx="0">
                  <c:v>70000</c:v>
                </c:pt>
                <c:pt idx="1">
                  <c:v>106666.66666666667</c:v>
                </c:pt>
              </c:numCache>
            </c:numRef>
          </c:val>
          <c:extLst>
            <c:ext xmlns:c16="http://schemas.microsoft.com/office/drawing/2014/chart" uri="{C3380CC4-5D6E-409C-BE32-E72D297353CC}">
              <c16:uniqueId val="{00000001-FCD6-425E-B0F9-7E1ACABBBCEE}"/>
            </c:ext>
          </c:extLst>
        </c:ser>
        <c:dLbls>
          <c:showLegendKey val="0"/>
          <c:showVal val="0"/>
          <c:showCatName val="0"/>
          <c:showSerName val="0"/>
          <c:showPercent val="0"/>
          <c:showBubbleSize val="0"/>
        </c:dLbls>
        <c:gapWidth val="219"/>
        <c:overlap val="-27"/>
        <c:axId val="454898808"/>
        <c:axId val="454899888"/>
      </c:barChart>
      <c:catAx>
        <c:axId val="454898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bg1"/>
                    </a:solidFill>
                  </a:rPr>
                  <a:t>Gender</a:t>
                </a:r>
                <a:r>
                  <a:rPr lang="en-US" sz="1100" b="1"/>
                  <a:t>r</a:t>
                </a:r>
              </a:p>
            </c:rich>
          </c:tx>
          <c:layout>
            <c:manualLayout>
              <c:xMode val="edge"/>
              <c:yMode val="edge"/>
              <c:x val="0.39910979877515312"/>
              <c:y val="0.86014107611548551"/>
            </c:manualLayout>
          </c:layout>
          <c:overlay val="0"/>
          <c:spPr>
            <a:solidFill>
              <a:schemeClr val="accent1">
                <a:lumMod val="75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99888"/>
        <c:crosses val="autoZero"/>
        <c:auto val="1"/>
        <c:lblAlgn val="ctr"/>
        <c:lblOffset val="100"/>
        <c:noMultiLvlLbl val="0"/>
      </c:catAx>
      <c:valAx>
        <c:axId val="4548998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bg1"/>
                    </a:solidFill>
                  </a:rPr>
                  <a:t>Income</a:t>
                </a:r>
              </a:p>
            </c:rich>
          </c:tx>
          <c:overlay val="0"/>
          <c:spPr>
            <a:solidFill>
              <a:schemeClr val="accent1">
                <a:lumMod val="50000"/>
              </a:schemeClr>
            </a:solidFill>
            <a:ln>
              <a:solidFill>
                <a:schemeClr val="accent1">
                  <a:lumMod val="50000"/>
                </a:schemeClr>
              </a:soli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898808"/>
        <c:crosses val="autoZero"/>
        <c:crossBetween val="between"/>
      </c:valAx>
      <c:dTable>
        <c:showHorzBorder val="1"/>
        <c:showVertBorder val="1"/>
        <c:showOutline val="1"/>
        <c:showKeys val="1"/>
        <c:spPr>
          <a:noFill/>
          <a:ln w="9525" cap="flat" cmpd="sng" algn="ctr">
            <a:solidFill>
              <a:schemeClr val="tx1"/>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final.xlsx]PivotTable!PivotTable2</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PivotTable!$B$23:$B$24</c:f>
              <c:strCache>
                <c:ptCount val="1"/>
                <c:pt idx="0">
                  <c:v>No</c:v>
                </c:pt>
              </c:strCache>
            </c:strRef>
          </c:tx>
          <c:spPr>
            <a:ln w="28575" cap="rnd">
              <a:solidFill>
                <a:schemeClr val="accent1"/>
              </a:solidFill>
              <a:round/>
            </a:ln>
            <a:effectLst/>
          </c:spPr>
          <c:marker>
            <c:symbol val="none"/>
          </c:marker>
          <c:cat>
            <c:strRef>
              <c:f>PivotTable!$A$25:$A$29</c:f>
              <c:strCache>
                <c:ptCount val="4"/>
                <c:pt idx="0">
                  <c:v>0-1 Miles</c:v>
                </c:pt>
                <c:pt idx="1">
                  <c:v>1-2 Miles</c:v>
                </c:pt>
                <c:pt idx="2">
                  <c:v>5-10 Miles</c:v>
                </c:pt>
                <c:pt idx="3">
                  <c:v>More than 10 miles</c:v>
                </c:pt>
              </c:strCache>
            </c:strRef>
          </c:cat>
          <c:val>
            <c:numRef>
              <c:f>PivotTable!$B$25:$B$29</c:f>
              <c:numCache>
                <c:formatCode>General</c:formatCode>
                <c:ptCount val="4"/>
                <c:pt idx="0">
                  <c:v>1</c:v>
                </c:pt>
                <c:pt idx="1">
                  <c:v>1</c:v>
                </c:pt>
                <c:pt idx="2">
                  <c:v>2</c:v>
                </c:pt>
                <c:pt idx="3">
                  <c:v>1</c:v>
                </c:pt>
              </c:numCache>
            </c:numRef>
          </c:val>
          <c:smooth val="0"/>
          <c:extLst>
            <c:ext xmlns:c16="http://schemas.microsoft.com/office/drawing/2014/chart" uri="{C3380CC4-5D6E-409C-BE32-E72D297353CC}">
              <c16:uniqueId val="{00000000-ED6E-4EC5-96E3-457EFDD64586}"/>
            </c:ext>
          </c:extLst>
        </c:ser>
        <c:ser>
          <c:idx val="1"/>
          <c:order val="1"/>
          <c:tx>
            <c:strRef>
              <c:f>PivotTable!$C$23:$C$24</c:f>
              <c:strCache>
                <c:ptCount val="1"/>
                <c:pt idx="0">
                  <c:v>Yes</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PivotTable!$A$25:$A$29</c:f>
              <c:strCache>
                <c:ptCount val="4"/>
                <c:pt idx="0">
                  <c:v>0-1 Miles</c:v>
                </c:pt>
                <c:pt idx="1">
                  <c:v>1-2 Miles</c:v>
                </c:pt>
                <c:pt idx="2">
                  <c:v>5-10 Miles</c:v>
                </c:pt>
                <c:pt idx="3">
                  <c:v>More than 10 miles</c:v>
                </c:pt>
              </c:strCache>
            </c:strRef>
          </c:cat>
          <c:val>
            <c:numRef>
              <c:f>PivotTable!$C$25:$C$29</c:f>
              <c:numCache>
                <c:formatCode>General</c:formatCode>
                <c:ptCount val="4"/>
                <c:pt idx="0">
                  <c:v>1</c:v>
                </c:pt>
                <c:pt idx="1">
                  <c:v>2</c:v>
                </c:pt>
                <c:pt idx="2">
                  <c:v>1</c:v>
                </c:pt>
              </c:numCache>
            </c:numRef>
          </c:val>
          <c:smooth val="0"/>
          <c:extLst>
            <c:ext xmlns:c16="http://schemas.microsoft.com/office/drawing/2014/chart" uri="{C3380CC4-5D6E-409C-BE32-E72D297353CC}">
              <c16:uniqueId val="{00000001-ED6E-4EC5-96E3-457EFDD64586}"/>
            </c:ext>
          </c:extLst>
        </c:ser>
        <c:dLbls>
          <c:showLegendKey val="0"/>
          <c:showVal val="0"/>
          <c:showCatName val="0"/>
          <c:showSerName val="0"/>
          <c:showPercent val="0"/>
          <c:showBubbleSize val="0"/>
        </c:dLbls>
        <c:smooth val="0"/>
        <c:axId val="595803848"/>
        <c:axId val="595801328"/>
      </c:lineChart>
      <c:catAx>
        <c:axId val="595803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bg1"/>
                    </a:solidFill>
                  </a:rPr>
                  <a:t>Commute Distance</a:t>
                </a:r>
              </a:p>
            </c:rich>
          </c:tx>
          <c:overlay val="0"/>
          <c:spPr>
            <a:solidFill>
              <a:schemeClr val="accent1">
                <a:lumMod val="5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801328"/>
        <c:crosses val="autoZero"/>
        <c:auto val="1"/>
        <c:lblAlgn val="ctr"/>
        <c:lblOffset val="100"/>
        <c:noMultiLvlLbl val="0"/>
      </c:catAx>
      <c:valAx>
        <c:axId val="595801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803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final.xlsx]PivotTable!PivotTable3</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PivotTable!$A$43:$A$45</c:f>
              <c:strCache>
                <c:ptCount val="2"/>
                <c:pt idx="0">
                  <c:v>Middle Age</c:v>
                </c:pt>
                <c:pt idx="1">
                  <c:v>Old</c:v>
                </c:pt>
              </c:strCache>
            </c:strRef>
          </c:cat>
          <c:val>
            <c:numRef>
              <c:f>PivotTable!$B$43:$B$45</c:f>
              <c:numCache>
                <c:formatCode>General</c:formatCode>
                <c:ptCount val="2"/>
                <c:pt idx="0">
                  <c:v>4</c:v>
                </c:pt>
                <c:pt idx="1">
                  <c:v>1</c:v>
                </c:pt>
              </c:numCache>
            </c:numRef>
          </c:val>
          <c:smooth val="0"/>
          <c:extLst>
            <c:ext xmlns:c16="http://schemas.microsoft.com/office/drawing/2014/chart" uri="{C3380CC4-5D6E-409C-BE32-E72D297353CC}">
              <c16:uniqueId val="{00000000-5FBC-466B-88DE-C1559FB37234}"/>
            </c:ext>
          </c:extLst>
        </c:ser>
        <c:ser>
          <c:idx val="1"/>
          <c:order val="1"/>
          <c:tx>
            <c:strRef>
              <c:f>PivotTable!$C$41:$C$42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PivotTable!$A$43:$A$45</c:f>
              <c:strCache>
                <c:ptCount val="2"/>
                <c:pt idx="0">
                  <c:v>Middle Age</c:v>
                </c:pt>
                <c:pt idx="1">
                  <c:v>Old</c:v>
                </c:pt>
              </c:strCache>
            </c:strRef>
          </c:cat>
          <c:val>
            <c:numRef>
              <c:f>PivotTable!$C$43:$C$45</c:f>
              <c:numCache>
                <c:formatCode>General</c:formatCode>
                <c:ptCount val="2"/>
                <c:pt idx="0">
                  <c:v>4</c:v>
                </c:pt>
              </c:numCache>
            </c:numRef>
          </c:val>
          <c:smooth val="0"/>
          <c:extLst>
            <c:ext xmlns:c16="http://schemas.microsoft.com/office/drawing/2014/chart" uri="{C3380CC4-5D6E-409C-BE32-E72D297353CC}">
              <c16:uniqueId val="{00000001-5FBC-466B-88DE-C1559FB37234}"/>
            </c:ext>
          </c:extLst>
        </c:ser>
        <c:dLbls>
          <c:showLegendKey val="0"/>
          <c:showVal val="0"/>
          <c:showCatName val="0"/>
          <c:showSerName val="0"/>
          <c:showPercent val="0"/>
          <c:showBubbleSize val="0"/>
        </c:dLbls>
        <c:marker val="1"/>
        <c:smooth val="0"/>
        <c:axId val="454490560"/>
        <c:axId val="454493080"/>
      </c:lineChart>
      <c:catAx>
        <c:axId val="454490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chemeClr val="tx1"/>
                    </a:solidFill>
                  </a:rPr>
                  <a:t>Age</a:t>
                </a:r>
                <a:r>
                  <a:rPr lang="en-US" sz="1100" b="1" baseline="0">
                    <a:solidFill>
                      <a:schemeClr val="tx1"/>
                    </a:solidFill>
                  </a:rPr>
                  <a:t> Bracket</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493080"/>
        <c:crosses val="autoZero"/>
        <c:auto val="1"/>
        <c:lblAlgn val="ctr"/>
        <c:lblOffset val="100"/>
        <c:noMultiLvlLbl val="0"/>
      </c:catAx>
      <c:valAx>
        <c:axId val="45449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490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347662</xdr:colOff>
      <xdr:row>2</xdr:row>
      <xdr:rowOff>0</xdr:rowOff>
    </xdr:from>
    <xdr:to>
      <xdr:col>12</xdr:col>
      <xdr:colOff>42862</xdr:colOff>
      <xdr:row>16</xdr:row>
      <xdr:rowOff>76200</xdr:rowOff>
    </xdr:to>
    <xdr:graphicFrame macro="">
      <xdr:nvGraphicFramePr>
        <xdr:cNvPr id="2" name="Chart 1">
          <a:extLst>
            <a:ext uri="{FF2B5EF4-FFF2-40B4-BE49-F238E27FC236}">
              <a16:creationId xmlns:a16="http://schemas.microsoft.com/office/drawing/2014/main" id="{F1736173-0605-8490-6407-84E0ABEDD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338137</xdr:colOff>
      <xdr:row>20</xdr:row>
      <xdr:rowOff>85725</xdr:rowOff>
    </xdr:from>
    <xdr:to>
      <xdr:col>12</xdr:col>
      <xdr:colOff>33337</xdr:colOff>
      <xdr:row>34</xdr:row>
      <xdr:rowOff>161925</xdr:rowOff>
    </xdr:to>
    <xdr:graphicFrame macro="">
      <xdr:nvGraphicFramePr>
        <xdr:cNvPr id="3" name="Chart 2">
          <a:extLst>
            <a:ext uri="{FF2B5EF4-FFF2-40B4-BE49-F238E27FC236}">
              <a16:creationId xmlns:a16="http://schemas.microsoft.com/office/drawing/2014/main" id="{853CAE8D-6DF7-911B-FA06-96DE465E8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352425</xdr:colOff>
      <xdr:row>35</xdr:row>
      <xdr:rowOff>104775</xdr:rowOff>
    </xdr:from>
    <xdr:to>
      <xdr:col>12</xdr:col>
      <xdr:colOff>47625</xdr:colOff>
      <xdr:row>49</xdr:row>
      <xdr:rowOff>180975</xdr:rowOff>
    </xdr:to>
    <xdr:graphicFrame macro="">
      <xdr:nvGraphicFramePr>
        <xdr:cNvPr id="4" name="Chart 3">
          <a:extLst>
            <a:ext uri="{FF2B5EF4-FFF2-40B4-BE49-F238E27FC236}">
              <a16:creationId xmlns:a16="http://schemas.microsoft.com/office/drawing/2014/main" id="{B1E4A502-D32E-8646-D914-26983B9E4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338137</xdr:colOff>
      <xdr:row>57</xdr:row>
      <xdr:rowOff>38100</xdr:rowOff>
    </xdr:from>
    <xdr:to>
      <xdr:col>12</xdr:col>
      <xdr:colOff>33337</xdr:colOff>
      <xdr:row>71</xdr:row>
      <xdr:rowOff>114300</xdr:rowOff>
    </xdr:to>
    <xdr:graphicFrame macro="">
      <xdr:nvGraphicFramePr>
        <xdr:cNvPr id="5" name="Chart 4">
          <a:extLst>
            <a:ext uri="{FF2B5EF4-FFF2-40B4-BE49-F238E27FC236}">
              <a16:creationId xmlns:a16="http://schemas.microsoft.com/office/drawing/2014/main" id="{0716C58B-A0B7-0D21-2EC0-81771377C2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552450</xdr:colOff>
      <xdr:row>6</xdr:row>
      <xdr:rowOff>95249</xdr:rowOff>
    </xdr:from>
    <xdr:to>
      <xdr:col>8</xdr:col>
      <xdr:colOff>476250</xdr:colOff>
      <xdr:row>9</xdr:row>
      <xdr:rowOff>9524</xdr:rowOff>
    </xdr:to>
    <xdr:sp macro="" textlink="">
      <xdr:nvSpPr>
        <xdr:cNvPr id="2" name="Rectangle: Rounded Corners 1">
          <a:extLst>
            <a:ext uri="{FF2B5EF4-FFF2-40B4-BE49-F238E27FC236}">
              <a16:creationId xmlns:a16="http://schemas.microsoft.com/office/drawing/2014/main" id="{DC09C6EB-E29F-724A-EA42-BD9AA1784342}"/>
            </a:ext>
          </a:extLst>
        </xdr:cNvPr>
        <xdr:cNvSpPr/>
      </xdr:nvSpPr>
      <xdr:spPr>
        <a:xfrm>
          <a:off x="1771650" y="1238249"/>
          <a:ext cx="3581400" cy="485775"/>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bg1"/>
              </a:solidFill>
            </a:rPr>
            <a:t>Average Income Per Purchase</a:t>
          </a:r>
        </a:p>
      </xdr:txBody>
    </xdr:sp>
    <xdr:clientData/>
  </xdr:twoCellAnchor>
  <xdr:twoCellAnchor>
    <xdr:from>
      <xdr:col>2</xdr:col>
      <xdr:colOff>523875</xdr:colOff>
      <xdr:row>9</xdr:row>
      <xdr:rowOff>47625</xdr:rowOff>
    </xdr:from>
    <xdr:to>
      <xdr:col>8</xdr:col>
      <xdr:colOff>457200</xdr:colOff>
      <xdr:row>23</xdr:row>
      <xdr:rowOff>123825</xdr:rowOff>
    </xdr:to>
    <xdr:graphicFrame macro="">
      <xdr:nvGraphicFramePr>
        <xdr:cNvPr id="3" name="Chart 2">
          <a:extLst>
            <a:ext uri="{FF2B5EF4-FFF2-40B4-BE49-F238E27FC236}">
              <a16:creationId xmlns:a16="http://schemas.microsoft.com/office/drawing/2014/main" id="{008A697E-70F3-47F6-BD6E-5BF0D5DD8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542924</xdr:colOff>
      <xdr:row>6</xdr:row>
      <xdr:rowOff>85724</xdr:rowOff>
    </xdr:from>
    <xdr:to>
      <xdr:col>15</xdr:col>
      <xdr:colOff>438149</xdr:colOff>
      <xdr:row>8</xdr:row>
      <xdr:rowOff>180975</xdr:rowOff>
    </xdr:to>
    <xdr:sp macro="" textlink="">
      <xdr:nvSpPr>
        <xdr:cNvPr id="4" name="Rectangle: Rounded Corners 3">
          <a:extLst>
            <a:ext uri="{FF2B5EF4-FFF2-40B4-BE49-F238E27FC236}">
              <a16:creationId xmlns:a16="http://schemas.microsoft.com/office/drawing/2014/main" id="{98C42413-C419-5EAF-F97B-1AEEC7320A3F}"/>
            </a:ext>
          </a:extLst>
        </xdr:cNvPr>
        <xdr:cNvSpPr/>
      </xdr:nvSpPr>
      <xdr:spPr>
        <a:xfrm>
          <a:off x="5419724" y="1228724"/>
          <a:ext cx="4162425" cy="476251"/>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baseline="0">
              <a:solidFill>
                <a:schemeClr val="lt1"/>
              </a:solidFill>
              <a:effectLst/>
              <a:latin typeface="+mn-lt"/>
              <a:ea typeface="+mn-ea"/>
              <a:cs typeface="+mn-cs"/>
            </a:rPr>
            <a:t>Distance Per Customer</a:t>
          </a:r>
          <a:endParaRPr lang="en-US" sz="2400" b="1">
            <a:effectLst/>
          </a:endParaRPr>
        </a:p>
        <a:p>
          <a:pPr algn="l"/>
          <a:endParaRPr lang="en-US" sz="1100"/>
        </a:p>
      </xdr:txBody>
    </xdr:sp>
    <xdr:clientData/>
  </xdr:twoCellAnchor>
  <xdr:twoCellAnchor>
    <xdr:from>
      <xdr:col>8</xdr:col>
      <xdr:colOff>561974</xdr:colOff>
      <xdr:row>9</xdr:row>
      <xdr:rowOff>57151</xdr:rowOff>
    </xdr:from>
    <xdr:to>
      <xdr:col>15</xdr:col>
      <xdr:colOff>438149</xdr:colOff>
      <xdr:row>23</xdr:row>
      <xdr:rowOff>1</xdr:rowOff>
    </xdr:to>
    <xdr:graphicFrame macro="">
      <xdr:nvGraphicFramePr>
        <xdr:cNvPr id="5" name="Chart 4">
          <a:extLst>
            <a:ext uri="{FF2B5EF4-FFF2-40B4-BE49-F238E27FC236}">
              <a16:creationId xmlns:a16="http://schemas.microsoft.com/office/drawing/2014/main" id="{2703801F-9121-43B8-AA5B-84DBC6595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85725</xdr:colOff>
      <xdr:row>24</xdr:row>
      <xdr:rowOff>76200</xdr:rowOff>
    </xdr:from>
    <xdr:to>
      <xdr:col>11</xdr:col>
      <xdr:colOff>390525</xdr:colOff>
      <xdr:row>26</xdr:row>
      <xdr:rowOff>161925</xdr:rowOff>
    </xdr:to>
    <xdr:sp macro="" textlink="">
      <xdr:nvSpPr>
        <xdr:cNvPr id="6" name="Rectangle: Rounded Corners 5">
          <a:extLst>
            <a:ext uri="{FF2B5EF4-FFF2-40B4-BE49-F238E27FC236}">
              <a16:creationId xmlns:a16="http://schemas.microsoft.com/office/drawing/2014/main" id="{3C689174-DD88-765E-14C9-2834CCFF0B37}"/>
            </a:ext>
          </a:extLst>
        </xdr:cNvPr>
        <xdr:cNvSpPr/>
      </xdr:nvSpPr>
      <xdr:spPr>
        <a:xfrm>
          <a:off x="2524125" y="4648200"/>
          <a:ext cx="4572000" cy="466725"/>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2400" b="1" i="0" baseline="0">
              <a:solidFill>
                <a:schemeClr val="lt1"/>
              </a:solidFill>
              <a:effectLst/>
              <a:latin typeface="+mn-lt"/>
              <a:ea typeface="+mn-ea"/>
              <a:cs typeface="+mn-cs"/>
            </a:rPr>
            <a:t>Customer Age Bracket</a:t>
          </a:r>
          <a:endParaRPr lang="en-US" sz="2400">
            <a:effectLst/>
          </a:endParaRPr>
        </a:p>
        <a:p>
          <a:pPr algn="l"/>
          <a:endParaRPr lang="en-US" sz="1100"/>
        </a:p>
      </xdr:txBody>
    </xdr:sp>
    <xdr:clientData/>
  </xdr:twoCellAnchor>
  <xdr:twoCellAnchor>
    <xdr:from>
      <xdr:col>4</xdr:col>
      <xdr:colOff>95250</xdr:colOff>
      <xdr:row>27</xdr:row>
      <xdr:rowOff>9525</xdr:rowOff>
    </xdr:from>
    <xdr:to>
      <xdr:col>11</xdr:col>
      <xdr:colOff>400050</xdr:colOff>
      <xdr:row>41</xdr:row>
      <xdr:rowOff>85725</xdr:rowOff>
    </xdr:to>
    <xdr:graphicFrame macro="">
      <xdr:nvGraphicFramePr>
        <xdr:cNvPr id="7" name="Chart 6">
          <a:extLst>
            <a:ext uri="{FF2B5EF4-FFF2-40B4-BE49-F238E27FC236}">
              <a16:creationId xmlns:a16="http://schemas.microsoft.com/office/drawing/2014/main" id="{BBC365E2-1752-40E5-ABF1-5F03370D4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371475</xdr:colOff>
      <xdr:row>1</xdr:row>
      <xdr:rowOff>47625</xdr:rowOff>
    </xdr:from>
    <xdr:to>
      <xdr:col>15</xdr:col>
      <xdr:colOff>409575</xdr:colOff>
      <xdr:row>5</xdr:row>
      <xdr:rowOff>171450</xdr:rowOff>
    </xdr:to>
    <xdr:sp macro="" textlink="">
      <xdr:nvSpPr>
        <xdr:cNvPr id="8" name="Rectangle 7">
          <a:extLst>
            <a:ext uri="{FF2B5EF4-FFF2-40B4-BE49-F238E27FC236}">
              <a16:creationId xmlns:a16="http://schemas.microsoft.com/office/drawing/2014/main" id="{20B921FC-66E1-E9E7-2915-F4D26C9146EF}"/>
            </a:ext>
          </a:extLst>
        </xdr:cNvPr>
        <xdr:cNvSpPr/>
      </xdr:nvSpPr>
      <xdr:spPr>
        <a:xfrm>
          <a:off x="371475" y="238125"/>
          <a:ext cx="9182100" cy="885825"/>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t>📈Bike Sales Dashboard🏍️</a:t>
          </a:r>
        </a:p>
      </xdr:txBody>
    </xdr:sp>
    <xdr:clientData/>
  </xdr:twoCellAnchor>
  <xdr:twoCellAnchor editAs="oneCell">
    <xdr:from>
      <xdr:col>0</xdr:col>
      <xdr:colOff>409575</xdr:colOff>
      <xdr:row>6</xdr:row>
      <xdr:rowOff>95250</xdr:rowOff>
    </xdr:from>
    <xdr:to>
      <xdr:col>2</xdr:col>
      <xdr:colOff>523875</xdr:colOff>
      <xdr:row>11</xdr:row>
      <xdr:rowOff>47625</xdr:rowOff>
    </xdr:to>
    <mc:AlternateContent xmlns:mc="http://schemas.openxmlformats.org/markup-compatibility/2006">
      <mc:Choice xmlns:a14="http://schemas.microsoft.com/office/drawing/2010/main" Requires="a14">
        <xdr:graphicFrame macro="">
          <xdr:nvGraphicFramePr>
            <xdr:cNvPr id="9" name="Maritual Status">
              <a:extLst>
                <a:ext uri="{FF2B5EF4-FFF2-40B4-BE49-F238E27FC236}">
                  <a16:creationId xmlns:a16="http://schemas.microsoft.com/office/drawing/2014/main" id="{C655B318-1F7E-C5C4-F4EC-633BF40A91DF}"/>
                </a:ext>
              </a:extLst>
            </xdr:cNvPr>
            <xdr:cNvGraphicFramePr/>
          </xdr:nvGraphicFramePr>
          <xdr:xfrm>
            <a:off x="0" y="0"/>
            <a:ext cx="0" cy="0"/>
          </xdr:xfrm>
          <a:graphic>
            <a:graphicData uri="http://schemas.microsoft.com/office/drawing/2010/slicer">
              <sle:slicer xmlns:sle="http://schemas.microsoft.com/office/drawing/2010/slicer" name="Maritual Status"/>
            </a:graphicData>
          </a:graphic>
        </xdr:graphicFrame>
      </mc:Choice>
      <mc:Fallback>
        <xdr:sp macro="" textlink="">
          <xdr:nvSpPr>
            <xdr:cNvPr id="0" name=""/>
            <xdr:cNvSpPr>
              <a:spLocks noTextEdit="1"/>
            </xdr:cNvSpPr>
          </xdr:nvSpPr>
          <xdr:spPr>
            <a:xfrm>
              <a:off x="409575" y="1238250"/>
              <a:ext cx="1320800" cy="90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390525</xdr:colOff>
      <xdr:row>17</xdr:row>
      <xdr:rowOff>95250</xdr:rowOff>
    </xdr:from>
    <xdr:to>
      <xdr:col>2</xdr:col>
      <xdr:colOff>523875</xdr:colOff>
      <xdr:row>23</xdr:row>
      <xdr:rowOff>123825</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E5211EDA-68E3-9AB7-EDBE-572EF339FF6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90525" y="3333750"/>
              <a:ext cx="1339850" cy="1171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400050</xdr:colOff>
      <xdr:row>11</xdr:row>
      <xdr:rowOff>114300</xdr:rowOff>
    </xdr:from>
    <xdr:to>
      <xdr:col>2</xdr:col>
      <xdr:colOff>514350</xdr:colOff>
      <xdr:row>17</xdr:row>
      <xdr:rowOff>66675</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CB048368-36AF-D3DC-19F3-E52833A244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00050" y="2209800"/>
              <a:ext cx="1320800" cy="1095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tik" refreshedDate="46051.878147685187" createdVersion="8" refreshedVersion="8" minRefreshableVersion="3" recordCount="1026" xr:uid="{58B1EB6E-DD94-44DE-BA65-C28CCC1E3244}">
  <cacheSource type="worksheet">
    <worksheetSource ref="A1:N1027" sheet="Clean Daata"/>
  </cacheSource>
  <cacheFields count="14">
    <cacheField name="ID" numFmtId="0">
      <sharedItems containsSemiMixedTypes="0" containsString="0" containsNumber="1" containsInteger="1" minValue="11000" maxValue="29447"/>
    </cacheField>
    <cacheField name="Maritu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o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69033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0A59BD-C15D-4798-88BF-088D27E2DFB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D29" firstHeaderRow="1" firstDataRow="2" firstDataCol="1"/>
  <pivotFields count="14">
    <pivotField showAll="0"/>
    <pivotField showAll="0">
      <items count="3">
        <item h="1" x="0"/>
        <item x="1"/>
        <item t="default"/>
      </items>
    </pivotField>
    <pivotField showAll="0"/>
    <pivotField numFmtId="1"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5">
    <i>
      <x/>
    </i>
    <i>
      <x v="2"/>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6AB745-D685-4868-B918-C1016FB4ABD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6EA1B9-2610-4342-8F3C-0C21B342D515}"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8:D67" firstHeaderRow="1" firstDataRow="2" firstDataCol="1"/>
  <pivotFields count="14">
    <pivotField showAll="0"/>
    <pivotField showAll="0">
      <items count="3">
        <item h="1" x="0"/>
        <item x="1"/>
        <item t="default"/>
      </items>
    </pivotField>
    <pivotField showAll="0"/>
    <pivotField numFmtId="1"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8">
    <i>
      <x v="6"/>
    </i>
    <i>
      <x v="8"/>
    </i>
    <i>
      <x v="10"/>
    </i>
    <i>
      <x v="24"/>
    </i>
    <i>
      <x v="25"/>
    </i>
    <i>
      <x v="30"/>
    </i>
    <i>
      <x v="37"/>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E4E7CE-2DA9-41AD-9F53-9532805C10C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5" firstHeaderRow="1" firstDataRow="2" firstDataCol="1"/>
  <pivotFields count="14">
    <pivotField showAll="0"/>
    <pivotField showAll="0">
      <items count="3">
        <item h="1" x="0"/>
        <item x="1"/>
        <item t="default"/>
      </items>
    </pivotField>
    <pivotField showAll="0"/>
    <pivotField numFmtId="1"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ual_Status" xr10:uid="{1268A20C-0CF8-4C2D-8E42-258B3B99548D}" sourceName="Maritual Status">
  <pivotTables>
    <pivotTable tabId="3" name="PivotTable1"/>
    <pivotTable tabId="3" name="PivotTable2"/>
    <pivotTable tabId="3" name="PivotTable3"/>
    <pivotTable tabId="3" name="PivotTable5"/>
  </pivotTables>
  <data>
    <tabular pivotCacheId="13690339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A25FE11-D03F-4BA2-B1E7-7805CAB2BF13}" sourceName="Education">
  <pivotTables>
    <pivotTable tabId="3" name="PivotTable1"/>
    <pivotTable tabId="3" name="PivotTable2"/>
    <pivotTable tabId="3" name="PivotTable3"/>
    <pivotTable tabId="3" name="PivotTable5"/>
  </pivotTables>
  <data>
    <tabular pivotCacheId="136903397">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539DAE-FFAA-4FF3-8CEF-DFC34F679086}" sourceName="Region">
  <pivotTables>
    <pivotTable tabId="3" name="PivotTable1"/>
    <pivotTable tabId="3" name="PivotTable2"/>
    <pivotTable tabId="3" name="PivotTable3"/>
    <pivotTable tabId="3" name="PivotTable5"/>
  </pivotTables>
  <data>
    <tabular pivotCacheId="136903397">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ual Status" xr10:uid="{2A54706D-B57F-4FC5-BFDE-9F439A0B13D4}" cache="Slicer_Maritual_Status" caption="Maritual Status" rowHeight="241300"/>
  <slicer name="Education" xr10:uid="{E9EF7E7E-89FD-4D7F-852A-9226A0C061BD}" cache="Slicer_Education" caption="Education" startItem="2" rowHeight="241300"/>
  <slicer name="Region" xr10:uid="{AF47AB76-6DB3-498D-B748-0FE2451A95DF}" cache="Slicer_Region" caption="Region"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6F180-DF08-4811-8B05-A162B599A98C}">
  <dimension ref="A1:N1027"/>
  <sheetViews>
    <sheetView topLeftCell="B1006" workbookViewId="0">
      <selection activeCell="H1031" sqref="H1031"/>
    </sheetView>
  </sheetViews>
  <sheetFormatPr defaultColWidth="11.85546875" defaultRowHeight="15" x14ac:dyDescent="0.25"/>
  <cols>
    <col min="2" max="2" width="16.5703125" customWidth="1"/>
    <col min="4" max="4" width="11.85546875" style="3"/>
    <col min="6" max="6" width="19.42578125" customWidth="1"/>
    <col min="7" max="7" width="15" customWidth="1"/>
    <col min="10" max="10" width="17.7109375" customWidth="1"/>
    <col min="13" max="13" width="18.140625" customWidth="1"/>
    <col min="14" max="14" width="15.42578125" customWidth="1"/>
  </cols>
  <sheetData>
    <row r="1" spans="1:14" x14ac:dyDescent="0.25">
      <c r="A1" t="s">
        <v>0</v>
      </c>
      <c r="B1" t="s">
        <v>41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IF(L2&gt;55,"Old",IF(L2&gt;=31,"Middle Age",IF(L2&lt;31,"Adoloscent","invalid")))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IF(L3&gt;55,"Old",IF(L3&gt;=31,"Middle Age",IF(L3&lt;31,"Adoloscent","invalid")))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Adoloscent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Adoloscent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Adoloscent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Adoloscent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Adoloscent</v>
      </c>
      <c r="N52" t="s">
        <v>18</v>
      </c>
    </row>
    <row r="53" spans="1:14" x14ac:dyDescent="0.25">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IF(L67&gt;55,"Old",IF(L67&gt;=31,"Middle Age",IF(L67&lt;31,"Adoloscent","invalid")))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Adoloscent</v>
      </c>
      <c r="N71" t="s">
        <v>18</v>
      </c>
    </row>
    <row r="72" spans="1:14" x14ac:dyDescent="0.25">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Adoloscent</v>
      </c>
      <c r="N78" t="s">
        <v>18</v>
      </c>
    </row>
    <row r="79" spans="1:14" x14ac:dyDescent="0.25">
      <c r="A79">
        <v>27969</v>
      </c>
      <c r="B79" t="s">
        <v>36</v>
      </c>
      <c r="C79" t="s">
        <v>38</v>
      </c>
      <c r="D79" s="3">
        <v>80000</v>
      </c>
      <c r="E79">
        <v>0</v>
      </c>
      <c r="F79" t="s">
        <v>13</v>
      </c>
      <c r="G79" t="s">
        <v>21</v>
      </c>
      <c r="H79" t="s">
        <v>15</v>
      </c>
      <c r="I79">
        <v>2</v>
      </c>
      <c r="J79" t="s">
        <v>47</v>
      </c>
      <c r="K79" t="s">
        <v>24</v>
      </c>
      <c r="L79">
        <v>29</v>
      </c>
      <c r="M79" t="str">
        <f t="shared" si="1"/>
        <v>Adoloscent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Adoloscent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Adoloscent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Adoloscent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Adoloscent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Adoloscent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25">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Adoloscent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Adoloscent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Adoloscent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Adoloscent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Adoloscent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Age",IF(L131&lt;31,"Adoloscent","invalid")))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Adoloscent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Adoloscent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Adoloscent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Adoloscent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Adoloscent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Adoloscent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47</v>
      </c>
      <c r="K180" t="s">
        <v>17</v>
      </c>
      <c r="L180">
        <v>55</v>
      </c>
      <c r="M180" t="str">
        <f t="shared" si="2"/>
        <v>Middle Age</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47</v>
      </c>
      <c r="K195" t="s">
        <v>24</v>
      </c>
      <c r="L195">
        <v>41</v>
      </c>
      <c r="M195" t="str">
        <f t="shared" ref="M195:M258" si="3">IF(L195&gt;55,"Old",IF(L195&gt;=31,"Middle Age",IF(L195&lt;31,"Adoloscent","invalid")))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Adoloscent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Adoloscent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Adoloscent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Adoloscent</v>
      </c>
      <c r="N214" t="s">
        <v>18</v>
      </c>
    </row>
    <row r="215" spans="1:14" x14ac:dyDescent="0.25">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Adoloscent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Adoloscent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Adoloscent</v>
      </c>
      <c r="N235" t="s">
        <v>15</v>
      </c>
    </row>
    <row r="236" spans="1:14" x14ac:dyDescent="0.25">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Adoloscent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Adoloscent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Adoloscent</v>
      </c>
      <c r="N245" t="s">
        <v>18</v>
      </c>
    </row>
    <row r="246" spans="1:14" x14ac:dyDescent="0.25">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Age",IF(L259&lt;31,"Adoloscent","invalid")))</f>
        <v>Middle Age</v>
      </c>
      <c r="N259" t="s">
        <v>15</v>
      </c>
    </row>
    <row r="260" spans="1:14" x14ac:dyDescent="0.25">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Adoloscent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Adoloscent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Adoloscent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Adoloscent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Age",IF(L323&lt;31,"Adoloscent","invalid")))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Adoloscent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Adoloscent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Adoloscent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Adoloscent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Adoloscent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47</v>
      </c>
      <c r="K361" t="s">
        <v>24</v>
      </c>
      <c r="L361">
        <v>30</v>
      </c>
      <c r="M361" t="str">
        <f t="shared" si="5"/>
        <v>Adoloscent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Adoloscent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Adoloscent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47</v>
      </c>
      <c r="K382" t="s">
        <v>24</v>
      </c>
      <c r="L382">
        <v>30</v>
      </c>
      <c r="M382" t="str">
        <f t="shared" si="5"/>
        <v>Adoloscent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Adoloscent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Age",IF(L387&lt;31,"Adoloscent","invalid")))</f>
        <v>Middle Age</v>
      </c>
      <c r="N387" t="s">
        <v>18</v>
      </c>
    </row>
    <row r="388" spans="1:14" x14ac:dyDescent="0.25">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Adoloscent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Adoloscent</v>
      </c>
      <c r="N433" t="s">
        <v>15</v>
      </c>
    </row>
    <row r="434" spans="1:14" x14ac:dyDescent="0.25">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Adoloscent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Adoloscent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Age",IF(L451&lt;31,"Adoloscent","invalid")))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Adoloscent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Adoloscent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Adoloscent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47</v>
      </c>
      <c r="K515" t="s">
        <v>32</v>
      </c>
      <c r="L515">
        <v>61</v>
      </c>
      <c r="M515" t="str">
        <f t="shared" ref="M515:M578" si="8">IF(L515&gt;55,"Old",IF(L515&gt;=31,"Middle Age",IF(L515&lt;31,"Adoloscent","invalid")))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Adoloscent</v>
      </c>
      <c r="N530" t="s">
        <v>18</v>
      </c>
    </row>
    <row r="531" spans="1:14" x14ac:dyDescent="0.25">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Adoloscent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Adoloscent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Adoloscent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Adoloscent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Adoloscent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Adoloscent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Adoloscent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Age",IF(L579&lt;31,"Adoloscent","invalid")))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Adoloscent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Adoloscent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Adoloscent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Adoloscent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Adoloscent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Adoloscent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Adoloscent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Adoloscent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47</v>
      </c>
      <c r="K643" t="s">
        <v>32</v>
      </c>
      <c r="L643">
        <v>64</v>
      </c>
      <c r="M643" t="str">
        <f t="shared" ref="M643:M706" si="10">IF(L643&gt;55,"Old",IF(L643&gt;=31,"Middle Age",IF(L643&lt;31,"Adoloscent","invalid")))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Adoloscent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Adoloscent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Adoloscent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Adoloscent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Adoloscent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Adoloscent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Adoloscent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Adoloscent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47</v>
      </c>
      <c r="K707" t="s">
        <v>32</v>
      </c>
      <c r="L707">
        <v>59</v>
      </c>
      <c r="M707" t="str">
        <f t="shared" ref="M707:M770" si="11">IF(L707&gt;55,"Old",IF(L707&gt;=31,"Middle Age",IF(L707&lt;31,"Adoloscent","invalid")))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Adoloscent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Adoloscent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Adoloscent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47</v>
      </c>
      <c r="K741" t="s">
        <v>32</v>
      </c>
      <c r="L741">
        <v>55</v>
      </c>
      <c r="M741" t="str">
        <f t="shared" si="11"/>
        <v>Middle Age</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Adoloscent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Adoloscent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Adoloscent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Adoloscent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Age",IF(L771&lt;31,"Adoloscent","invalid")))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Adoloscent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47</v>
      </c>
      <c r="K782" t="s">
        <v>32</v>
      </c>
      <c r="L782">
        <v>55</v>
      </c>
      <c r="M782" t="str">
        <f t="shared" si="12"/>
        <v>Middle Age</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Adoloscent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Adoloscent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Adoloscent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Adoloscent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Adoloscent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Adoloscent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Adoloscent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Adoloscent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Adoloscent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Adoloscent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Adoloscent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Age",IF(L835&lt;31,"Adoloscent","invalid")))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Adoloscent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Adoloscent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Adoloscent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47</v>
      </c>
      <c r="K868" t="s">
        <v>32</v>
      </c>
      <c r="L868">
        <v>55</v>
      </c>
      <c r="M868" t="str">
        <f t="shared" si="13"/>
        <v>Middle Age</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47</v>
      </c>
      <c r="K873" t="s">
        <v>32</v>
      </c>
      <c r="L873">
        <v>55</v>
      </c>
      <c r="M873" t="str">
        <f t="shared" si="13"/>
        <v>Middle Age</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Adoloscent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Age",IF(L899&lt;31,"Adoloscent","invalid")))</f>
        <v>Adoloscent</v>
      </c>
      <c r="N899" t="s">
        <v>18</v>
      </c>
    </row>
    <row r="900" spans="1:14" x14ac:dyDescent="0.25">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Adoloscent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Adoloscent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Adoloscent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Adoloscent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Adoloscent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26" si="15">IF(L963&gt;55,"Old",IF(L963&gt;=31,"Middle Age",IF(L963&lt;31,"Adoloscent","invalid")))</f>
        <v>Old</v>
      </c>
      <c r="N963" t="s">
        <v>18</v>
      </c>
    </row>
    <row r="964" spans="1:14" x14ac:dyDescent="0.25">
      <c r="A964">
        <v>16813</v>
      </c>
      <c r="B964" t="s">
        <v>36</v>
      </c>
      <c r="C964" t="s">
        <v>38</v>
      </c>
      <c r="D964" s="3">
        <v>60000</v>
      </c>
      <c r="E964">
        <v>2</v>
      </c>
      <c r="F964" t="s">
        <v>19</v>
      </c>
      <c r="G964" t="s">
        <v>21</v>
      </c>
      <c r="H964" t="s">
        <v>15</v>
      </c>
      <c r="I964">
        <v>2</v>
      </c>
      <c r="J964" t="s">
        <v>47</v>
      </c>
      <c r="K964" t="s">
        <v>32</v>
      </c>
      <c r="L964">
        <v>55</v>
      </c>
      <c r="M964" t="str">
        <f t="shared" si="15"/>
        <v>Middle Age</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Adoloscent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Adoloscent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row r="1002" spans="1:14" x14ac:dyDescent="0.25">
      <c r="A1002">
        <v>13507</v>
      </c>
      <c r="B1002" t="s">
        <v>36</v>
      </c>
      <c r="C1002" t="s">
        <v>39</v>
      </c>
      <c r="D1002" s="3">
        <v>10000</v>
      </c>
      <c r="E1002">
        <v>2</v>
      </c>
      <c r="F1002" t="s">
        <v>19</v>
      </c>
      <c r="G1002" t="s">
        <v>25</v>
      </c>
      <c r="H1002" t="s">
        <v>15</v>
      </c>
      <c r="I1002">
        <v>0</v>
      </c>
      <c r="J1002" t="s">
        <v>26</v>
      </c>
      <c r="K1002" t="s">
        <v>17</v>
      </c>
      <c r="L1002">
        <v>50</v>
      </c>
      <c r="M1002" t="str">
        <f t="shared" si="15"/>
        <v>Middle Age</v>
      </c>
      <c r="N1002" t="s">
        <v>18</v>
      </c>
    </row>
    <row r="1003" spans="1:14" x14ac:dyDescent="0.25">
      <c r="A1003">
        <v>19280</v>
      </c>
      <c r="B1003" t="s">
        <v>36</v>
      </c>
      <c r="C1003" t="s">
        <v>38</v>
      </c>
      <c r="D1003" s="3">
        <v>120000</v>
      </c>
      <c r="E1003">
        <v>2</v>
      </c>
      <c r="F1003" t="s">
        <v>19</v>
      </c>
      <c r="G1003" t="s">
        <v>25</v>
      </c>
      <c r="H1003" t="s">
        <v>15</v>
      </c>
      <c r="I1003">
        <v>1</v>
      </c>
      <c r="J1003" t="s">
        <v>16</v>
      </c>
      <c r="K1003" t="s">
        <v>17</v>
      </c>
      <c r="L1003">
        <v>40</v>
      </c>
      <c r="M1003" t="str">
        <f t="shared" si="15"/>
        <v>Middle Age</v>
      </c>
      <c r="N1003" t="s">
        <v>15</v>
      </c>
    </row>
    <row r="1004" spans="1:14" x14ac:dyDescent="0.25">
      <c r="A1004">
        <v>22173</v>
      </c>
      <c r="B1004" t="s">
        <v>36</v>
      </c>
      <c r="C1004" t="s">
        <v>39</v>
      </c>
      <c r="D1004" s="3">
        <v>30000</v>
      </c>
      <c r="E1004">
        <v>3</v>
      </c>
      <c r="F1004" t="s">
        <v>27</v>
      </c>
      <c r="G1004" t="s">
        <v>14</v>
      </c>
      <c r="H1004" t="s">
        <v>18</v>
      </c>
      <c r="I1004">
        <v>2</v>
      </c>
      <c r="J1004" t="s">
        <v>26</v>
      </c>
      <c r="K1004" t="s">
        <v>24</v>
      </c>
      <c r="L1004">
        <v>54</v>
      </c>
      <c r="M1004" t="str">
        <f t="shared" si="15"/>
        <v>Middle Age</v>
      </c>
      <c r="N1004" t="s">
        <v>15</v>
      </c>
    </row>
    <row r="1005" spans="1:14" x14ac:dyDescent="0.25">
      <c r="A1005">
        <v>12697</v>
      </c>
      <c r="B1005" t="s">
        <v>37</v>
      </c>
      <c r="C1005" t="s">
        <v>39</v>
      </c>
      <c r="D1005" s="3">
        <v>90000</v>
      </c>
      <c r="E1005">
        <v>0</v>
      </c>
      <c r="F1005" t="s">
        <v>13</v>
      </c>
      <c r="G1005" t="s">
        <v>21</v>
      </c>
      <c r="H1005" t="s">
        <v>18</v>
      </c>
      <c r="I1005">
        <v>4</v>
      </c>
      <c r="J1005" t="s">
        <v>47</v>
      </c>
      <c r="K1005" t="s">
        <v>24</v>
      </c>
      <c r="L1005">
        <v>36</v>
      </c>
      <c r="M1005" t="str">
        <f t="shared" si="15"/>
        <v>Middle Age</v>
      </c>
      <c r="N1005" t="s">
        <v>18</v>
      </c>
    </row>
    <row r="1006" spans="1:14" x14ac:dyDescent="0.25">
      <c r="A1006">
        <v>11434</v>
      </c>
      <c r="B1006" t="s">
        <v>36</v>
      </c>
      <c r="C1006" t="s">
        <v>38</v>
      </c>
      <c r="D1006" s="3">
        <v>170000</v>
      </c>
      <c r="E1006">
        <v>5</v>
      </c>
      <c r="F1006" t="s">
        <v>19</v>
      </c>
      <c r="G1006" t="s">
        <v>21</v>
      </c>
      <c r="H1006" t="s">
        <v>15</v>
      </c>
      <c r="I1006">
        <v>0</v>
      </c>
      <c r="J1006" t="s">
        <v>16</v>
      </c>
      <c r="K1006" t="s">
        <v>17</v>
      </c>
      <c r="L1006">
        <v>55</v>
      </c>
      <c r="M1006" t="str">
        <f t="shared" si="15"/>
        <v>Middle Age</v>
      </c>
      <c r="N1006" t="s">
        <v>18</v>
      </c>
    </row>
    <row r="1007" spans="1:14" x14ac:dyDescent="0.25">
      <c r="A1007">
        <v>25323</v>
      </c>
      <c r="B1007" t="s">
        <v>36</v>
      </c>
      <c r="C1007" t="s">
        <v>38</v>
      </c>
      <c r="D1007" s="3">
        <v>40000</v>
      </c>
      <c r="E1007">
        <v>2</v>
      </c>
      <c r="F1007" t="s">
        <v>19</v>
      </c>
      <c r="G1007" t="s">
        <v>20</v>
      </c>
      <c r="H1007" t="s">
        <v>15</v>
      </c>
      <c r="I1007">
        <v>1</v>
      </c>
      <c r="J1007" t="s">
        <v>26</v>
      </c>
      <c r="K1007" t="s">
        <v>17</v>
      </c>
      <c r="L1007">
        <v>35</v>
      </c>
      <c r="M1007" t="str">
        <f t="shared" si="15"/>
        <v>Middle Age</v>
      </c>
      <c r="N1007" t="s">
        <v>15</v>
      </c>
    </row>
    <row r="1008" spans="1:14" x14ac:dyDescent="0.25">
      <c r="A1008">
        <v>23542</v>
      </c>
      <c r="B1008" t="s">
        <v>37</v>
      </c>
      <c r="C1008" t="s">
        <v>38</v>
      </c>
      <c r="D1008" s="3">
        <v>60000</v>
      </c>
      <c r="E1008">
        <v>1</v>
      </c>
      <c r="F1008" t="s">
        <v>19</v>
      </c>
      <c r="G1008" t="s">
        <v>14</v>
      </c>
      <c r="H1008" t="s">
        <v>18</v>
      </c>
      <c r="I1008">
        <v>1</v>
      </c>
      <c r="J1008" t="s">
        <v>16</v>
      </c>
      <c r="K1008" t="s">
        <v>24</v>
      </c>
      <c r="L1008">
        <v>45</v>
      </c>
      <c r="M1008" t="str">
        <f t="shared" si="15"/>
        <v>Middle Age</v>
      </c>
      <c r="N1008" t="s">
        <v>15</v>
      </c>
    </row>
    <row r="1009" spans="1:14" x14ac:dyDescent="0.25">
      <c r="A1009">
        <v>20870</v>
      </c>
      <c r="B1009" t="s">
        <v>37</v>
      </c>
      <c r="C1009" t="s">
        <v>39</v>
      </c>
      <c r="D1009" s="3">
        <v>10000</v>
      </c>
      <c r="E1009">
        <v>2</v>
      </c>
      <c r="F1009" t="s">
        <v>27</v>
      </c>
      <c r="G1009" t="s">
        <v>25</v>
      </c>
      <c r="H1009" t="s">
        <v>15</v>
      </c>
      <c r="I1009">
        <v>1</v>
      </c>
      <c r="J1009" t="s">
        <v>16</v>
      </c>
      <c r="K1009" t="s">
        <v>17</v>
      </c>
      <c r="L1009">
        <v>38</v>
      </c>
      <c r="M1009" t="str">
        <f t="shared" si="15"/>
        <v>Middle Age</v>
      </c>
      <c r="N1009" t="s">
        <v>15</v>
      </c>
    </row>
    <row r="1010" spans="1:14" x14ac:dyDescent="0.25">
      <c r="A1010">
        <v>23316</v>
      </c>
      <c r="B1010" t="s">
        <v>37</v>
      </c>
      <c r="C1010" t="s">
        <v>38</v>
      </c>
      <c r="D1010" s="3">
        <v>30000</v>
      </c>
      <c r="E1010">
        <v>3</v>
      </c>
      <c r="F1010" t="s">
        <v>19</v>
      </c>
      <c r="G1010" t="s">
        <v>20</v>
      </c>
      <c r="H1010" t="s">
        <v>18</v>
      </c>
      <c r="I1010">
        <v>2</v>
      </c>
      <c r="J1010" t="s">
        <v>26</v>
      </c>
      <c r="K1010" t="s">
        <v>24</v>
      </c>
      <c r="L1010">
        <v>59</v>
      </c>
      <c r="M1010" t="str">
        <f t="shared" si="15"/>
        <v>Old</v>
      </c>
      <c r="N1010" t="s">
        <v>15</v>
      </c>
    </row>
    <row r="1011" spans="1:14" x14ac:dyDescent="0.25">
      <c r="A1011">
        <v>12610</v>
      </c>
      <c r="B1011" t="s">
        <v>36</v>
      </c>
      <c r="C1011" t="s">
        <v>39</v>
      </c>
      <c r="D1011" s="3">
        <v>30000</v>
      </c>
      <c r="E1011">
        <v>1</v>
      </c>
      <c r="F1011" t="s">
        <v>13</v>
      </c>
      <c r="G1011" t="s">
        <v>20</v>
      </c>
      <c r="H1011" t="s">
        <v>15</v>
      </c>
      <c r="I1011">
        <v>0</v>
      </c>
      <c r="J1011" t="s">
        <v>16</v>
      </c>
      <c r="K1011" t="s">
        <v>17</v>
      </c>
      <c r="L1011">
        <v>47</v>
      </c>
      <c r="M1011" t="str">
        <f t="shared" si="15"/>
        <v>Middle Age</v>
      </c>
      <c r="N1011" t="s">
        <v>18</v>
      </c>
    </row>
    <row r="1012" spans="1:14" x14ac:dyDescent="0.25">
      <c r="A1012">
        <v>27183</v>
      </c>
      <c r="B1012" t="s">
        <v>37</v>
      </c>
      <c r="C1012" t="s">
        <v>38</v>
      </c>
      <c r="D1012" s="3">
        <v>40000</v>
      </c>
      <c r="E1012">
        <v>2</v>
      </c>
      <c r="F1012" t="s">
        <v>19</v>
      </c>
      <c r="G1012" t="s">
        <v>20</v>
      </c>
      <c r="H1012" t="s">
        <v>15</v>
      </c>
      <c r="I1012">
        <v>1</v>
      </c>
      <c r="J1012" t="s">
        <v>26</v>
      </c>
      <c r="K1012" t="s">
        <v>17</v>
      </c>
      <c r="L1012">
        <v>35</v>
      </c>
      <c r="M1012" t="str">
        <f t="shared" si="15"/>
        <v>Middle Age</v>
      </c>
      <c r="N1012" t="s">
        <v>15</v>
      </c>
    </row>
    <row r="1013" spans="1:14" x14ac:dyDescent="0.25">
      <c r="A1013">
        <v>25940</v>
      </c>
      <c r="B1013" t="s">
        <v>37</v>
      </c>
      <c r="C1013" t="s">
        <v>38</v>
      </c>
      <c r="D1013" s="3">
        <v>20000</v>
      </c>
      <c r="E1013">
        <v>2</v>
      </c>
      <c r="F1013" t="s">
        <v>29</v>
      </c>
      <c r="G1013" t="s">
        <v>20</v>
      </c>
      <c r="H1013" t="s">
        <v>15</v>
      </c>
      <c r="I1013">
        <v>2</v>
      </c>
      <c r="J1013" t="s">
        <v>23</v>
      </c>
      <c r="K1013" t="s">
        <v>24</v>
      </c>
      <c r="L1013">
        <v>55</v>
      </c>
      <c r="M1013" t="str">
        <f t="shared" si="15"/>
        <v>Middle Age</v>
      </c>
      <c r="N1013" t="s">
        <v>15</v>
      </c>
    </row>
    <row r="1014" spans="1:14" x14ac:dyDescent="0.25">
      <c r="A1014">
        <v>25598</v>
      </c>
      <c r="B1014" t="s">
        <v>36</v>
      </c>
      <c r="C1014" t="s">
        <v>39</v>
      </c>
      <c r="D1014" s="3">
        <v>40000</v>
      </c>
      <c r="E1014">
        <v>0</v>
      </c>
      <c r="F1014" t="s">
        <v>31</v>
      </c>
      <c r="G1014" t="s">
        <v>20</v>
      </c>
      <c r="H1014" t="s">
        <v>15</v>
      </c>
      <c r="I1014">
        <v>0</v>
      </c>
      <c r="J1014" t="s">
        <v>16</v>
      </c>
      <c r="K1014" t="s">
        <v>17</v>
      </c>
      <c r="L1014">
        <v>36</v>
      </c>
      <c r="M1014" t="str">
        <f t="shared" si="15"/>
        <v>Middle Age</v>
      </c>
      <c r="N1014" t="s">
        <v>15</v>
      </c>
    </row>
    <row r="1015" spans="1:14" x14ac:dyDescent="0.25">
      <c r="A1015">
        <v>21564</v>
      </c>
      <c r="B1015" t="s">
        <v>37</v>
      </c>
      <c r="C1015" t="s">
        <v>39</v>
      </c>
      <c r="D1015" s="3">
        <v>80000</v>
      </c>
      <c r="E1015">
        <v>0</v>
      </c>
      <c r="F1015" t="s">
        <v>13</v>
      </c>
      <c r="G1015" t="s">
        <v>21</v>
      </c>
      <c r="H1015" t="s">
        <v>15</v>
      </c>
      <c r="I1015">
        <v>4</v>
      </c>
      <c r="J1015" t="s">
        <v>47</v>
      </c>
      <c r="K1015" t="s">
        <v>24</v>
      </c>
      <c r="L1015">
        <v>35</v>
      </c>
      <c r="M1015" t="str">
        <f t="shared" si="15"/>
        <v>Middle Age</v>
      </c>
      <c r="N1015" t="s">
        <v>18</v>
      </c>
    </row>
    <row r="1016" spans="1:14" x14ac:dyDescent="0.25">
      <c r="A1016">
        <v>19193</v>
      </c>
      <c r="B1016" t="s">
        <v>37</v>
      </c>
      <c r="C1016" t="s">
        <v>38</v>
      </c>
      <c r="D1016" s="3">
        <v>40000</v>
      </c>
      <c r="E1016">
        <v>2</v>
      </c>
      <c r="F1016" t="s">
        <v>19</v>
      </c>
      <c r="G1016" t="s">
        <v>20</v>
      </c>
      <c r="H1016" t="s">
        <v>15</v>
      </c>
      <c r="I1016">
        <v>0</v>
      </c>
      <c r="J1016" t="s">
        <v>26</v>
      </c>
      <c r="K1016" t="s">
        <v>17</v>
      </c>
      <c r="L1016">
        <v>35</v>
      </c>
      <c r="M1016" t="str">
        <f t="shared" si="15"/>
        <v>Middle Age</v>
      </c>
      <c r="N1016" t="s">
        <v>15</v>
      </c>
    </row>
    <row r="1017" spans="1:14" x14ac:dyDescent="0.25">
      <c r="A1017">
        <v>26412</v>
      </c>
      <c r="B1017" t="s">
        <v>36</v>
      </c>
      <c r="C1017" t="s">
        <v>39</v>
      </c>
      <c r="D1017" s="3">
        <v>80000</v>
      </c>
      <c r="E1017">
        <v>5</v>
      </c>
      <c r="F1017" t="s">
        <v>27</v>
      </c>
      <c r="G1017" t="s">
        <v>28</v>
      </c>
      <c r="H1017" t="s">
        <v>18</v>
      </c>
      <c r="I1017">
        <v>3</v>
      </c>
      <c r="J1017" t="s">
        <v>23</v>
      </c>
      <c r="K1017" t="s">
        <v>17</v>
      </c>
      <c r="L1017">
        <v>56</v>
      </c>
      <c r="M1017" t="str">
        <f t="shared" si="15"/>
        <v>Old</v>
      </c>
      <c r="N1017" t="s">
        <v>18</v>
      </c>
    </row>
    <row r="1018" spans="1:14" x14ac:dyDescent="0.25">
      <c r="A1018">
        <v>27184</v>
      </c>
      <c r="B1018" t="s">
        <v>37</v>
      </c>
      <c r="C1018" t="s">
        <v>38</v>
      </c>
      <c r="D1018" s="3">
        <v>40000</v>
      </c>
      <c r="E1018">
        <v>2</v>
      </c>
      <c r="F1018" t="s">
        <v>19</v>
      </c>
      <c r="G1018" t="s">
        <v>20</v>
      </c>
      <c r="H1018" t="s">
        <v>18</v>
      </c>
      <c r="I1018">
        <v>1</v>
      </c>
      <c r="J1018" t="s">
        <v>16</v>
      </c>
      <c r="K1018" t="s">
        <v>17</v>
      </c>
      <c r="L1018">
        <v>34</v>
      </c>
      <c r="M1018" t="str">
        <f t="shared" si="15"/>
        <v>Middle Age</v>
      </c>
      <c r="N1018" t="s">
        <v>18</v>
      </c>
    </row>
    <row r="1019" spans="1:14" x14ac:dyDescent="0.25">
      <c r="A1019">
        <v>12590</v>
      </c>
      <c r="B1019" t="s">
        <v>37</v>
      </c>
      <c r="C1019" t="s">
        <v>38</v>
      </c>
      <c r="D1019" s="3">
        <v>30000</v>
      </c>
      <c r="E1019">
        <v>1</v>
      </c>
      <c r="F1019" t="s">
        <v>13</v>
      </c>
      <c r="G1019" t="s">
        <v>20</v>
      </c>
      <c r="H1019" t="s">
        <v>15</v>
      </c>
      <c r="I1019">
        <v>0</v>
      </c>
      <c r="J1019" t="s">
        <v>16</v>
      </c>
      <c r="K1019" t="s">
        <v>17</v>
      </c>
      <c r="L1019">
        <v>63</v>
      </c>
      <c r="M1019" t="str">
        <f t="shared" si="15"/>
        <v>Old</v>
      </c>
      <c r="N1019" t="s">
        <v>18</v>
      </c>
    </row>
    <row r="1020" spans="1:14" x14ac:dyDescent="0.25">
      <c r="A1020">
        <v>17841</v>
      </c>
      <c r="B1020" t="s">
        <v>37</v>
      </c>
      <c r="C1020" t="s">
        <v>38</v>
      </c>
      <c r="D1020" s="3">
        <v>30000</v>
      </c>
      <c r="E1020">
        <v>0</v>
      </c>
      <c r="F1020" t="s">
        <v>19</v>
      </c>
      <c r="G1020" t="s">
        <v>20</v>
      </c>
      <c r="H1020" t="s">
        <v>18</v>
      </c>
      <c r="I1020">
        <v>1</v>
      </c>
      <c r="J1020" t="s">
        <v>16</v>
      </c>
      <c r="K1020" t="s">
        <v>17</v>
      </c>
      <c r="L1020">
        <v>29</v>
      </c>
      <c r="M1020" t="str">
        <f t="shared" si="15"/>
        <v>Adoloscent</v>
      </c>
      <c r="N1020" t="s">
        <v>15</v>
      </c>
    </row>
    <row r="1021" spans="1:14" x14ac:dyDescent="0.25">
      <c r="A1021">
        <v>18283</v>
      </c>
      <c r="B1021" t="s">
        <v>37</v>
      </c>
      <c r="C1021" t="s">
        <v>39</v>
      </c>
      <c r="D1021" s="3">
        <v>100000</v>
      </c>
      <c r="E1021">
        <v>0</v>
      </c>
      <c r="F1021" t="s">
        <v>13</v>
      </c>
      <c r="G1021" t="s">
        <v>21</v>
      </c>
      <c r="H1021" t="s">
        <v>18</v>
      </c>
      <c r="I1021">
        <v>1</v>
      </c>
      <c r="J1021" t="s">
        <v>23</v>
      </c>
      <c r="K1021" t="s">
        <v>24</v>
      </c>
      <c r="L1021">
        <v>40</v>
      </c>
      <c r="M1021" t="str">
        <f t="shared" si="15"/>
        <v>Middle Age</v>
      </c>
      <c r="N1021" t="s">
        <v>18</v>
      </c>
    </row>
    <row r="1022" spans="1:14" x14ac:dyDescent="0.25">
      <c r="A1022">
        <v>18299</v>
      </c>
      <c r="B1022" t="s">
        <v>36</v>
      </c>
      <c r="C1022" t="s">
        <v>38</v>
      </c>
      <c r="D1022" s="3">
        <v>70000</v>
      </c>
      <c r="E1022">
        <v>5</v>
      </c>
      <c r="F1022" t="s">
        <v>19</v>
      </c>
      <c r="G1022" t="s">
        <v>14</v>
      </c>
      <c r="H1022" t="s">
        <v>15</v>
      </c>
      <c r="I1022">
        <v>2</v>
      </c>
      <c r="J1022" t="s">
        <v>23</v>
      </c>
      <c r="K1022" t="s">
        <v>24</v>
      </c>
      <c r="L1022">
        <v>44</v>
      </c>
      <c r="M1022" t="str">
        <f t="shared" si="15"/>
        <v>Middle Age</v>
      </c>
      <c r="N1022" t="s">
        <v>18</v>
      </c>
    </row>
    <row r="1023" spans="1:14" x14ac:dyDescent="0.25">
      <c r="A1023">
        <v>16466</v>
      </c>
      <c r="B1023" t="s">
        <v>37</v>
      </c>
      <c r="C1023" t="s">
        <v>39</v>
      </c>
      <c r="D1023" s="3">
        <v>20000</v>
      </c>
      <c r="E1023">
        <v>0</v>
      </c>
      <c r="F1023" t="s">
        <v>29</v>
      </c>
      <c r="G1023" t="s">
        <v>25</v>
      </c>
      <c r="H1023" t="s">
        <v>18</v>
      </c>
      <c r="I1023">
        <v>2</v>
      </c>
      <c r="J1023" t="s">
        <v>16</v>
      </c>
      <c r="K1023" t="s">
        <v>17</v>
      </c>
      <c r="L1023">
        <v>32</v>
      </c>
      <c r="M1023" t="str">
        <f t="shared" si="15"/>
        <v>Middle Age</v>
      </c>
      <c r="N1023" t="s">
        <v>15</v>
      </c>
    </row>
    <row r="1024" spans="1:14" x14ac:dyDescent="0.25">
      <c r="A1024">
        <v>19273</v>
      </c>
      <c r="B1024" t="s">
        <v>36</v>
      </c>
      <c r="C1024" t="s">
        <v>39</v>
      </c>
      <c r="D1024" s="3">
        <v>20000</v>
      </c>
      <c r="E1024">
        <v>2</v>
      </c>
      <c r="F1024" t="s">
        <v>19</v>
      </c>
      <c r="G1024" t="s">
        <v>25</v>
      </c>
      <c r="H1024" t="s">
        <v>15</v>
      </c>
      <c r="I1024">
        <v>0</v>
      </c>
      <c r="J1024" t="s">
        <v>16</v>
      </c>
      <c r="K1024" t="s">
        <v>17</v>
      </c>
      <c r="L1024">
        <v>63</v>
      </c>
      <c r="M1024" t="str">
        <f t="shared" si="15"/>
        <v>Old</v>
      </c>
      <c r="N1024" t="s">
        <v>18</v>
      </c>
    </row>
    <row r="1025" spans="1:14" x14ac:dyDescent="0.25">
      <c r="A1025">
        <v>22400</v>
      </c>
      <c r="B1025" t="s">
        <v>36</v>
      </c>
      <c r="C1025" t="s">
        <v>38</v>
      </c>
      <c r="D1025" s="3">
        <v>10000</v>
      </c>
      <c r="E1025">
        <v>0</v>
      </c>
      <c r="F1025" t="s">
        <v>19</v>
      </c>
      <c r="G1025" t="s">
        <v>25</v>
      </c>
      <c r="H1025" t="s">
        <v>18</v>
      </c>
      <c r="I1025">
        <v>1</v>
      </c>
      <c r="J1025" t="s">
        <v>16</v>
      </c>
      <c r="K1025" t="s">
        <v>24</v>
      </c>
      <c r="L1025">
        <v>26</v>
      </c>
      <c r="M1025" t="str">
        <f t="shared" si="15"/>
        <v>Adoloscent</v>
      </c>
      <c r="N1025" t="s">
        <v>15</v>
      </c>
    </row>
    <row r="1026" spans="1:14" x14ac:dyDescent="0.25">
      <c r="A1026">
        <v>20942</v>
      </c>
      <c r="B1026" t="s">
        <v>37</v>
      </c>
      <c r="C1026" t="s">
        <v>39</v>
      </c>
      <c r="D1026" s="3">
        <v>20000</v>
      </c>
      <c r="E1026">
        <v>0</v>
      </c>
      <c r="F1026" t="s">
        <v>27</v>
      </c>
      <c r="G1026" t="s">
        <v>25</v>
      </c>
      <c r="H1026" t="s">
        <v>18</v>
      </c>
      <c r="I1026">
        <v>1</v>
      </c>
      <c r="J1026" t="s">
        <v>23</v>
      </c>
      <c r="K1026" t="s">
        <v>17</v>
      </c>
      <c r="L1026">
        <v>31</v>
      </c>
      <c r="M1026" t="str">
        <f t="shared" si="15"/>
        <v>Middle Age</v>
      </c>
      <c r="N1026" t="s">
        <v>18</v>
      </c>
    </row>
    <row r="1027" spans="1:14" x14ac:dyDescent="0.25">
      <c r="A1027">
        <v>18484</v>
      </c>
      <c r="B1027" t="s">
        <v>37</v>
      </c>
      <c r="C1027" t="s">
        <v>38</v>
      </c>
      <c r="D1027" s="3">
        <v>80000</v>
      </c>
      <c r="E1027">
        <v>2</v>
      </c>
      <c r="F1027" t="s">
        <v>27</v>
      </c>
      <c r="G1027" t="s">
        <v>14</v>
      </c>
      <c r="H1027" t="s">
        <v>18</v>
      </c>
      <c r="I1027">
        <v>2</v>
      </c>
      <c r="J1027" t="s">
        <v>26</v>
      </c>
      <c r="K1027" t="s">
        <v>24</v>
      </c>
      <c r="L1027">
        <v>50</v>
      </c>
      <c r="M1027" t="str">
        <f t="shared" ref="M1027" si="16">IF(L1027&gt;55,"Old",IF(L1027&gt;=31,"Middle Age",IF(L1027&lt;31,"Adoloscent","invalid")))</f>
        <v>Middle Age</v>
      </c>
      <c r="N1027" t="s">
        <v>15</v>
      </c>
    </row>
  </sheetData>
  <autoFilter ref="A1:N1027" xr:uid="{67C6F180-DF08-4811-8B05-A162B599A98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1EE85-6BFA-4048-81F0-CF1A28707DFD}">
  <dimension ref="A3:D67"/>
  <sheetViews>
    <sheetView topLeftCell="A28" workbookViewId="0">
      <selection activeCell="A61" sqref="A61"/>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3" spans="1:4" x14ac:dyDescent="0.25">
      <c r="A3" s="4" t="s">
        <v>44</v>
      </c>
      <c r="B3" s="4" t="s">
        <v>45</v>
      </c>
    </row>
    <row r="4" spans="1:4" x14ac:dyDescent="0.25">
      <c r="A4" s="4" t="s">
        <v>42</v>
      </c>
      <c r="B4" t="s">
        <v>18</v>
      </c>
      <c r="C4" t="s">
        <v>15</v>
      </c>
      <c r="D4" t="s">
        <v>43</v>
      </c>
    </row>
    <row r="5" spans="1:4" x14ac:dyDescent="0.25">
      <c r="A5" s="5" t="s">
        <v>39</v>
      </c>
      <c r="B5" s="3">
        <v>50000</v>
      </c>
      <c r="C5" s="3">
        <v>70000</v>
      </c>
      <c r="D5" s="3">
        <v>54000</v>
      </c>
    </row>
    <row r="6" spans="1:4" x14ac:dyDescent="0.25">
      <c r="A6" s="5" t="s">
        <v>38</v>
      </c>
      <c r="B6" s="3">
        <v>100000</v>
      </c>
      <c r="C6" s="3">
        <v>106666.66666666667</v>
      </c>
      <c r="D6" s="3">
        <v>105000</v>
      </c>
    </row>
    <row r="7" spans="1:4" x14ac:dyDescent="0.25">
      <c r="A7" s="5" t="s">
        <v>43</v>
      </c>
      <c r="B7" s="3">
        <v>60000</v>
      </c>
      <c r="C7" s="3">
        <v>97500</v>
      </c>
      <c r="D7" s="3">
        <v>76666.666666666672</v>
      </c>
    </row>
    <row r="23" spans="1:4" x14ac:dyDescent="0.25">
      <c r="A23" s="4" t="s">
        <v>46</v>
      </c>
      <c r="B23" s="4" t="s">
        <v>45</v>
      </c>
    </row>
    <row r="24" spans="1:4" x14ac:dyDescent="0.25">
      <c r="A24" s="4" t="s">
        <v>42</v>
      </c>
      <c r="B24" t="s">
        <v>18</v>
      </c>
      <c r="C24" t="s">
        <v>15</v>
      </c>
      <c r="D24" t="s">
        <v>43</v>
      </c>
    </row>
    <row r="25" spans="1:4" x14ac:dyDescent="0.25">
      <c r="A25" s="5" t="s">
        <v>16</v>
      </c>
      <c r="B25" s="6">
        <v>1</v>
      </c>
      <c r="C25" s="6">
        <v>1</v>
      </c>
      <c r="D25" s="6">
        <v>2</v>
      </c>
    </row>
    <row r="26" spans="1:4" x14ac:dyDescent="0.25">
      <c r="A26" s="5" t="s">
        <v>26</v>
      </c>
      <c r="B26" s="6">
        <v>1</v>
      </c>
      <c r="C26" s="6">
        <v>2</v>
      </c>
      <c r="D26" s="6">
        <v>3</v>
      </c>
    </row>
    <row r="27" spans="1:4" x14ac:dyDescent="0.25">
      <c r="A27" s="5" t="s">
        <v>23</v>
      </c>
      <c r="B27" s="6">
        <v>2</v>
      </c>
      <c r="C27" s="6">
        <v>1</v>
      </c>
      <c r="D27" s="6">
        <v>3</v>
      </c>
    </row>
    <row r="28" spans="1:4" x14ac:dyDescent="0.25">
      <c r="A28" s="5" t="s">
        <v>47</v>
      </c>
      <c r="B28" s="6">
        <v>1</v>
      </c>
      <c r="C28" s="6"/>
      <c r="D28" s="6">
        <v>1</v>
      </c>
    </row>
    <row r="29" spans="1:4" x14ac:dyDescent="0.25">
      <c r="A29" s="5" t="s">
        <v>43</v>
      </c>
      <c r="B29" s="6">
        <v>5</v>
      </c>
      <c r="C29" s="6">
        <v>4</v>
      </c>
      <c r="D29" s="6">
        <v>9</v>
      </c>
    </row>
    <row r="41" spans="1:4" x14ac:dyDescent="0.25">
      <c r="A41" s="4" t="s">
        <v>46</v>
      </c>
      <c r="B41" s="4" t="s">
        <v>45</v>
      </c>
    </row>
    <row r="42" spans="1:4" x14ac:dyDescent="0.25">
      <c r="A42" s="4" t="s">
        <v>42</v>
      </c>
      <c r="B42" t="s">
        <v>18</v>
      </c>
      <c r="C42" t="s">
        <v>15</v>
      </c>
      <c r="D42" t="s">
        <v>43</v>
      </c>
    </row>
    <row r="43" spans="1:4" x14ac:dyDescent="0.25">
      <c r="A43" s="5" t="s">
        <v>48</v>
      </c>
      <c r="B43" s="6">
        <v>4</v>
      </c>
      <c r="C43" s="6">
        <v>4</v>
      </c>
      <c r="D43" s="6">
        <v>8</v>
      </c>
    </row>
    <row r="44" spans="1:4" x14ac:dyDescent="0.25">
      <c r="A44" s="5" t="s">
        <v>49</v>
      </c>
      <c r="B44" s="6">
        <v>1</v>
      </c>
      <c r="C44" s="6"/>
      <c r="D44" s="6">
        <v>1</v>
      </c>
    </row>
    <row r="45" spans="1:4" x14ac:dyDescent="0.25">
      <c r="A45" s="5" t="s">
        <v>43</v>
      </c>
      <c r="B45" s="6">
        <v>5</v>
      </c>
      <c r="C45" s="6">
        <v>4</v>
      </c>
      <c r="D45" s="6">
        <v>9</v>
      </c>
    </row>
    <row r="58" spans="1:4" x14ac:dyDescent="0.25">
      <c r="A58" s="4" t="s">
        <v>46</v>
      </c>
      <c r="B58" s="4" t="s">
        <v>45</v>
      </c>
    </row>
    <row r="59" spans="1:4" x14ac:dyDescent="0.25">
      <c r="A59" s="4" t="s">
        <v>42</v>
      </c>
      <c r="B59" t="s">
        <v>18</v>
      </c>
      <c r="C59" t="s">
        <v>15</v>
      </c>
      <c r="D59" t="s">
        <v>43</v>
      </c>
    </row>
    <row r="60" spans="1:4" x14ac:dyDescent="0.25">
      <c r="A60" s="5">
        <v>31</v>
      </c>
      <c r="B60" s="6">
        <v>1</v>
      </c>
      <c r="C60" s="6"/>
      <c r="D60" s="6">
        <v>1</v>
      </c>
    </row>
    <row r="61" spans="1:4" x14ac:dyDescent="0.25">
      <c r="A61" s="5">
        <v>33</v>
      </c>
      <c r="B61" s="6"/>
      <c r="C61" s="6">
        <v>1</v>
      </c>
      <c r="D61" s="6">
        <v>1</v>
      </c>
    </row>
    <row r="62" spans="1:4" x14ac:dyDescent="0.25">
      <c r="A62" s="5">
        <v>35</v>
      </c>
      <c r="B62" s="6">
        <v>1</v>
      </c>
      <c r="C62" s="6"/>
      <c r="D62" s="6">
        <v>1</v>
      </c>
    </row>
    <row r="63" spans="1:4" x14ac:dyDescent="0.25">
      <c r="A63" s="5">
        <v>49</v>
      </c>
      <c r="B63" s="6"/>
      <c r="C63" s="6">
        <v>1</v>
      </c>
      <c r="D63" s="6">
        <v>1</v>
      </c>
    </row>
    <row r="64" spans="1:4" x14ac:dyDescent="0.25">
      <c r="A64" s="5">
        <v>50</v>
      </c>
      <c r="B64" s="6"/>
      <c r="C64" s="6">
        <v>2</v>
      </c>
      <c r="D64" s="6">
        <v>2</v>
      </c>
    </row>
    <row r="65" spans="1:4" x14ac:dyDescent="0.25">
      <c r="A65" s="5">
        <v>55</v>
      </c>
      <c r="B65" s="6">
        <v>2</v>
      </c>
      <c r="C65" s="6"/>
      <c r="D65" s="6">
        <v>2</v>
      </c>
    </row>
    <row r="66" spans="1:4" x14ac:dyDescent="0.25">
      <c r="A66" s="5">
        <v>62</v>
      </c>
      <c r="B66" s="6">
        <v>1</v>
      </c>
      <c r="C66" s="6"/>
      <c r="D66" s="6">
        <v>1</v>
      </c>
    </row>
    <row r="67" spans="1:4" x14ac:dyDescent="0.25">
      <c r="A67" s="5" t="s">
        <v>43</v>
      </c>
      <c r="B67" s="6">
        <v>5</v>
      </c>
      <c r="C67" s="6">
        <v>4</v>
      </c>
      <c r="D67" s="6">
        <v>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8B1D5-F851-496D-9061-4565ADCF1C8D}">
  <dimension ref="A1"/>
  <sheetViews>
    <sheetView showGridLines="0" tabSelected="1" zoomScale="60" zoomScaleNormal="60" workbookViewId="0">
      <selection activeCell="C26" sqref="C2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Clean Daata</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Batik</dc:creator>
  <cp:lastModifiedBy>batik213@outlook.com</cp:lastModifiedBy>
  <dcterms:created xsi:type="dcterms:W3CDTF">2022-03-18T02:50:57Z</dcterms:created>
  <dcterms:modified xsi:type="dcterms:W3CDTF">2026-01-29T20:08:29Z</dcterms:modified>
</cp:coreProperties>
</file>